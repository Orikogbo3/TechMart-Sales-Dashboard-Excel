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90984627-E58B-41C2-8091-2452D15F6189}" xr6:coauthVersionLast="36" xr6:coauthVersionMax="36" xr10:uidLastSave="{00000000-0000-0000-0000-000000000000}"/>
  <bookViews>
    <workbookView xWindow="0" yWindow="0" windowWidth="20490" windowHeight="7425" activeTab="2" xr2:uid="{00000000-000D-0000-FFFF-FFFF00000000}"/>
  </bookViews>
  <sheets>
    <sheet name="Raw_Data" sheetId="1" r:id="rId1"/>
    <sheet name="KPI" sheetId="2" state="hidden" r:id="rId2"/>
    <sheet name="Dashboard" sheetId="3" r:id="rId3"/>
  </sheets>
  <definedNames>
    <definedName name="_xlcn.WorksheetConnection_TechMart.xlsxTable11" hidden="1">Table1[]</definedName>
    <definedName name="Slicer_Brand">#N/A</definedName>
    <definedName name="Slicer_City">#N/A</definedName>
    <definedName name="Slicer_Gender">#N/A</definedName>
    <definedName name="Timeline_Date">#N/A</definedName>
  </definedNames>
  <calcPr calcId="191029"/>
  <pivotCaches>
    <pivotCache cacheId="619" r:id="rId4"/>
    <pivotCache cacheId="620" r:id="rId5"/>
    <pivotCache cacheId="621" r:id="rId6"/>
    <pivotCache cacheId="622" r:id="rId7"/>
    <pivotCache cacheId="623" r:id="rId8"/>
    <pivotCache cacheId="624" r:id="rId9"/>
    <pivotCache cacheId="625" r:id="rId10"/>
    <pivotCache cacheId="642" r:id="rId11"/>
  </pivotCaches>
  <extLst>
    <ext xmlns:x14="http://schemas.microsoft.com/office/spreadsheetml/2009/9/main" uri="{876F7934-8845-4945-9796-88D515C7AA90}">
      <x14:pivotCaches>
        <pivotCache cacheId="15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9"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FCE2AD5D-F65C-4FA6-A056-5C36A1767C68}">
      <x15:dataModel>
        <x15:modelTables>
          <x15:modelTable id="Table1" name="Table1" connection="WorksheetConnection_TechMart.xlsx!Table1"/>
        </x15:modelTables>
      </x15:dataModel>
    </ext>
  </extLst>
</workbook>
</file>

<file path=xl/calcChain.xml><?xml version="1.0" encoding="utf-8"?>
<calcChain xmlns="http://schemas.openxmlformats.org/spreadsheetml/2006/main">
  <c r="I27" i="2" l="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4DE960-7D5E-43C1-8FD6-290A5C8EA32C}"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7CC6D78-469F-4655-9DB1-2A2E9AEE9C5D}" name="WorksheetConnection_TechMart.xlsx!Table1" type="102" refreshedVersion="6" minRefreshableVersion="5">
    <extLst>
      <ext xmlns:x15="http://schemas.microsoft.com/office/spreadsheetml/2010/11/main" uri="{DE250136-89BD-433C-8126-D09CA5730AF9}">
        <x15:connection id="Table1" autoDelete="1">
          <x15:rangePr sourceName="_xlcn.WorksheetConnection_TechMart.xlsxTable11"/>
        </x15:connection>
      </ext>
    </extLst>
  </connection>
</connections>
</file>

<file path=xl/sharedStrings.xml><?xml version="1.0" encoding="utf-8"?>
<sst xmlns="http://schemas.openxmlformats.org/spreadsheetml/2006/main" count="1684" uniqueCount="276">
  <si>
    <t>Invoice ID</t>
  </si>
  <si>
    <t>Date</t>
  </si>
  <si>
    <t>Product Category</t>
  </si>
  <si>
    <t>Brand</t>
  </si>
  <si>
    <t>Product Name</t>
  </si>
  <si>
    <t>Unit Price</t>
  </si>
  <si>
    <t>Quantity</t>
  </si>
  <si>
    <t>Total Sales</t>
  </si>
  <si>
    <t>COGS</t>
  </si>
  <si>
    <t>Gross Profit</t>
  </si>
  <si>
    <t>Payment Method</t>
  </si>
  <si>
    <t>Store Type</t>
  </si>
  <si>
    <t>City</t>
  </si>
  <si>
    <t>Customer Age</t>
  </si>
  <si>
    <t>Gender</t>
  </si>
  <si>
    <t>Rating</t>
  </si>
  <si>
    <t>INV-10001</t>
  </si>
  <si>
    <t>Wearables</t>
  </si>
  <si>
    <t>Apple</t>
  </si>
  <si>
    <t>Apple Wearables</t>
  </si>
  <si>
    <t>Ewallet</t>
  </si>
  <si>
    <t>Flagship Store</t>
  </si>
  <si>
    <t>Singapore</t>
  </si>
  <si>
    <t>Female</t>
  </si>
  <si>
    <t>INV-10002</t>
  </si>
  <si>
    <t>Accessories</t>
  </si>
  <si>
    <t>Logitech</t>
  </si>
  <si>
    <t>Logitech Accessories</t>
  </si>
  <si>
    <t>Mall Kiosk</t>
  </si>
  <si>
    <t>Berlin</t>
  </si>
  <si>
    <t>INV-10003</t>
  </si>
  <si>
    <t>Laptops</t>
  </si>
  <si>
    <t>HP</t>
  </si>
  <si>
    <t>HP Laptops</t>
  </si>
  <si>
    <t>Cash</t>
  </si>
  <si>
    <t>Online</t>
  </si>
  <si>
    <t>London</t>
  </si>
  <si>
    <t>INV-10004</t>
  </si>
  <si>
    <t>Bank Transfer</t>
  </si>
  <si>
    <t>Male</t>
  </si>
  <si>
    <t>INV-10005</t>
  </si>
  <si>
    <t>Smartphones</t>
  </si>
  <si>
    <t>Apple Smartphones</t>
  </si>
  <si>
    <t>Dubai</t>
  </si>
  <si>
    <t>INV-10006</t>
  </si>
  <si>
    <t>Tablets</t>
  </si>
  <si>
    <t>Samsung</t>
  </si>
  <si>
    <t>Samsung Tablets</t>
  </si>
  <si>
    <t>New York</t>
  </si>
  <si>
    <t>INV-10007</t>
  </si>
  <si>
    <t>Dell</t>
  </si>
  <si>
    <t>Dell Laptops</t>
  </si>
  <si>
    <t>Credit card</t>
  </si>
  <si>
    <t>INV-10008</t>
  </si>
  <si>
    <t>Garmin</t>
  </si>
  <si>
    <t>Garmin Wearables</t>
  </si>
  <si>
    <t>INV-10009</t>
  </si>
  <si>
    <t>INV-10010</t>
  </si>
  <si>
    <t>Apple Laptops</t>
  </si>
  <si>
    <t>INV-10011</t>
  </si>
  <si>
    <t>INV-10012</t>
  </si>
  <si>
    <t>INV-10013</t>
  </si>
  <si>
    <t>INV-10014</t>
  </si>
  <si>
    <t>INV-10015</t>
  </si>
  <si>
    <t>Apple Tablets</t>
  </si>
  <si>
    <t>INV-10016</t>
  </si>
  <si>
    <t>Samsung Smartphones</t>
  </si>
  <si>
    <t>INV-10017</t>
  </si>
  <si>
    <t>Toronto</t>
  </si>
  <si>
    <t>INV-10018</t>
  </si>
  <si>
    <t>INV-10019</t>
  </si>
  <si>
    <t>INV-10020</t>
  </si>
  <si>
    <t>Anker</t>
  </si>
  <si>
    <t>Anker Accessories</t>
  </si>
  <si>
    <t>INV-10021</t>
  </si>
  <si>
    <t>INV-10022</t>
  </si>
  <si>
    <t>INV-10023</t>
  </si>
  <si>
    <t>INV-10024</t>
  </si>
  <si>
    <t>INV-10025</t>
  </si>
  <si>
    <t>INV-10026</t>
  </si>
  <si>
    <t>INV-10027</t>
  </si>
  <si>
    <t>INV-10028</t>
  </si>
  <si>
    <t>INV-10029</t>
  </si>
  <si>
    <t>INV-10030</t>
  </si>
  <si>
    <t>INV-10031</t>
  </si>
  <si>
    <t>INV-10032</t>
  </si>
  <si>
    <t>INV-10033</t>
  </si>
  <si>
    <t>INV-10034</t>
  </si>
  <si>
    <t>INV-10035</t>
  </si>
  <si>
    <t>INV-10036</t>
  </si>
  <si>
    <t>INV-10037</t>
  </si>
  <si>
    <t>INV-10038</t>
  </si>
  <si>
    <t>INV-10039</t>
  </si>
  <si>
    <t>INV-10040</t>
  </si>
  <si>
    <t>INV-10041</t>
  </si>
  <si>
    <t>INV-10042</t>
  </si>
  <si>
    <t>INV-10043</t>
  </si>
  <si>
    <t>INV-10044</t>
  </si>
  <si>
    <t>INV-10045</t>
  </si>
  <si>
    <t>INV-10046</t>
  </si>
  <si>
    <t>INV-10047</t>
  </si>
  <si>
    <t>INV-10048</t>
  </si>
  <si>
    <t>INV-10049</t>
  </si>
  <si>
    <t>INV-10050</t>
  </si>
  <si>
    <t>INV-10051</t>
  </si>
  <si>
    <t>INV-10052</t>
  </si>
  <si>
    <t>INV-10053</t>
  </si>
  <si>
    <t>INV-10054</t>
  </si>
  <si>
    <t>INV-10055</t>
  </si>
  <si>
    <t>INV-10056</t>
  </si>
  <si>
    <t>INV-10057</t>
  </si>
  <si>
    <t>INV-10058</t>
  </si>
  <si>
    <t>INV-10059</t>
  </si>
  <si>
    <t>INV-10060</t>
  </si>
  <si>
    <t>INV-10061</t>
  </si>
  <si>
    <t>INV-10062</t>
  </si>
  <si>
    <t>INV-10063</t>
  </si>
  <si>
    <t>INV-10064</t>
  </si>
  <si>
    <t>INV-10065</t>
  </si>
  <si>
    <t>INV-10066</t>
  </si>
  <si>
    <t>INV-10067</t>
  </si>
  <si>
    <t>INV-10068</t>
  </si>
  <si>
    <t>INV-10069</t>
  </si>
  <si>
    <t>INV-10070</t>
  </si>
  <si>
    <t>INV-10071</t>
  </si>
  <si>
    <t>INV-10072</t>
  </si>
  <si>
    <t>INV-10073</t>
  </si>
  <si>
    <t>INV-10074</t>
  </si>
  <si>
    <t>INV-10075</t>
  </si>
  <si>
    <t>INV-10076</t>
  </si>
  <si>
    <t>INV-10077</t>
  </si>
  <si>
    <t>INV-10078</t>
  </si>
  <si>
    <t>INV-10079</t>
  </si>
  <si>
    <t>INV-10080</t>
  </si>
  <si>
    <t>INV-10081</t>
  </si>
  <si>
    <t>INV-10082</t>
  </si>
  <si>
    <t>INV-10083</t>
  </si>
  <si>
    <t>INV-10084</t>
  </si>
  <si>
    <t>INV-10085</t>
  </si>
  <si>
    <t>INV-10086</t>
  </si>
  <si>
    <t>INV-10087</t>
  </si>
  <si>
    <t>INV-10088</t>
  </si>
  <si>
    <t>INV-10089</t>
  </si>
  <si>
    <t>INV-10090</t>
  </si>
  <si>
    <t>INV-10091</t>
  </si>
  <si>
    <t>INV-10092</t>
  </si>
  <si>
    <t>INV-10093</t>
  </si>
  <si>
    <t>INV-10094</t>
  </si>
  <si>
    <t>INV-10095</t>
  </si>
  <si>
    <t>INV-10096</t>
  </si>
  <si>
    <t>INV-10097</t>
  </si>
  <si>
    <t>INV-10098</t>
  </si>
  <si>
    <t>INV-10099</t>
  </si>
  <si>
    <t>INV-10100</t>
  </si>
  <si>
    <t>INV-10101</t>
  </si>
  <si>
    <t>INV-10102</t>
  </si>
  <si>
    <t>INV-10103</t>
  </si>
  <si>
    <t>INV-10104</t>
  </si>
  <si>
    <t>INV-10105</t>
  </si>
  <si>
    <t>INV-10106</t>
  </si>
  <si>
    <t>INV-10107</t>
  </si>
  <si>
    <t>INV-10108</t>
  </si>
  <si>
    <t>INV-10109</t>
  </si>
  <si>
    <t>INV-10110</t>
  </si>
  <si>
    <t>INV-10111</t>
  </si>
  <si>
    <t>INV-10112</t>
  </si>
  <si>
    <t>INV-10113</t>
  </si>
  <si>
    <t>INV-10114</t>
  </si>
  <si>
    <t>INV-10115</t>
  </si>
  <si>
    <t>INV-10116</t>
  </si>
  <si>
    <t>INV-10117</t>
  </si>
  <si>
    <t>INV-10118</t>
  </si>
  <si>
    <t>INV-10119</t>
  </si>
  <si>
    <t>INV-10120</t>
  </si>
  <si>
    <t>INV-10121</t>
  </si>
  <si>
    <t>INV-10122</t>
  </si>
  <si>
    <t>INV-10123</t>
  </si>
  <si>
    <t>INV-10124</t>
  </si>
  <si>
    <t>INV-10125</t>
  </si>
  <si>
    <t>INV-10126</t>
  </si>
  <si>
    <t>INV-10127</t>
  </si>
  <si>
    <t>INV-10128</t>
  </si>
  <si>
    <t>INV-10129</t>
  </si>
  <si>
    <t>INV-10130</t>
  </si>
  <si>
    <t>INV-10131</t>
  </si>
  <si>
    <t>INV-10132</t>
  </si>
  <si>
    <t>INV-10133</t>
  </si>
  <si>
    <t>INV-10134</t>
  </si>
  <si>
    <t>INV-10135</t>
  </si>
  <si>
    <t>INV-10136</t>
  </si>
  <si>
    <t>INV-10137</t>
  </si>
  <si>
    <t>INV-10138</t>
  </si>
  <si>
    <t>INV-10139</t>
  </si>
  <si>
    <t>INV-10140</t>
  </si>
  <si>
    <t>INV-10141</t>
  </si>
  <si>
    <t>INV-10142</t>
  </si>
  <si>
    <t>INV-10143</t>
  </si>
  <si>
    <t>INV-10144</t>
  </si>
  <si>
    <t>INV-10145</t>
  </si>
  <si>
    <t>INV-10146</t>
  </si>
  <si>
    <t>INV-10147</t>
  </si>
  <si>
    <t>INV-10148</t>
  </si>
  <si>
    <t>INV-10149</t>
  </si>
  <si>
    <t>INV-10150</t>
  </si>
  <si>
    <t>INV-10151</t>
  </si>
  <si>
    <t>INV-10152</t>
  </si>
  <si>
    <t>INV-10153</t>
  </si>
  <si>
    <t>INV-10154</t>
  </si>
  <si>
    <t>INV-10155</t>
  </si>
  <si>
    <t>INV-10156</t>
  </si>
  <si>
    <t>INV-10157</t>
  </si>
  <si>
    <t>INV-10158</t>
  </si>
  <si>
    <t>INV-10159</t>
  </si>
  <si>
    <t>INV-10160</t>
  </si>
  <si>
    <t>INV-10161</t>
  </si>
  <si>
    <t>INV-10162</t>
  </si>
  <si>
    <t>INV-10163</t>
  </si>
  <si>
    <t>INV-10164</t>
  </si>
  <si>
    <t>INV-10165</t>
  </si>
  <si>
    <t>INV-10166</t>
  </si>
  <si>
    <t>INV-10167</t>
  </si>
  <si>
    <t>INV-10168</t>
  </si>
  <si>
    <t>INV-10169</t>
  </si>
  <si>
    <t>INV-10170</t>
  </si>
  <si>
    <t>INV-10171</t>
  </si>
  <si>
    <t>INV-10172</t>
  </si>
  <si>
    <t>INV-10173</t>
  </si>
  <si>
    <t>INV-10174</t>
  </si>
  <si>
    <t>INV-10175</t>
  </si>
  <si>
    <t>INV-10176</t>
  </si>
  <si>
    <t>INV-10177</t>
  </si>
  <si>
    <t>INV-10178</t>
  </si>
  <si>
    <t>INV-10179</t>
  </si>
  <si>
    <t>INV-10180</t>
  </si>
  <si>
    <t>INV-10181</t>
  </si>
  <si>
    <t>INV-10182</t>
  </si>
  <si>
    <t>INV-10183</t>
  </si>
  <si>
    <t>INV-10184</t>
  </si>
  <si>
    <t>INV-10185</t>
  </si>
  <si>
    <t>INV-10186</t>
  </si>
  <si>
    <t>INV-10187</t>
  </si>
  <si>
    <t>INV-10188</t>
  </si>
  <si>
    <t>INV-10189</t>
  </si>
  <si>
    <t>INV-10190</t>
  </si>
  <si>
    <t>INV-10191</t>
  </si>
  <si>
    <t>INV-10192</t>
  </si>
  <si>
    <t>INV-10193</t>
  </si>
  <si>
    <t>INV-10194</t>
  </si>
  <si>
    <t>INV-10195</t>
  </si>
  <si>
    <t>INV-10196</t>
  </si>
  <si>
    <t>INV-10197</t>
  </si>
  <si>
    <t>INV-10198</t>
  </si>
  <si>
    <t>INV-10199</t>
  </si>
  <si>
    <t>INV-10200</t>
  </si>
  <si>
    <t>Month</t>
  </si>
  <si>
    <t>Sum of Total Sales</t>
  </si>
  <si>
    <t>Row Labels</t>
  </si>
  <si>
    <t>Grand Total</t>
  </si>
  <si>
    <t>Apr</t>
  </si>
  <si>
    <t>Aug</t>
  </si>
  <si>
    <t>Dec</t>
  </si>
  <si>
    <t>Feb</t>
  </si>
  <si>
    <t>Jan</t>
  </si>
  <si>
    <t>Jul</t>
  </si>
  <si>
    <t>Jun</t>
  </si>
  <si>
    <t>Mar</t>
  </si>
  <si>
    <t>May</t>
  </si>
  <si>
    <t>Oct</t>
  </si>
  <si>
    <t>Nov</t>
  </si>
  <si>
    <t>Sep</t>
  </si>
  <si>
    <t>KPI</t>
  </si>
  <si>
    <t>Count of Invoice ID</t>
  </si>
  <si>
    <t>Sum of Quantity</t>
  </si>
  <si>
    <t>Sum of Gross Profit</t>
  </si>
  <si>
    <t>Sum of COGS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</si>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</sst>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6" formatCode="_(&quot;$&quot;* #,##0_);_(&quot;$&quot;* \(#,##0\);_(&quot;$&quot;* &quot;-&quot;??_);_(@_)"/>
    <numFmt numFmtId="171"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0" fontId="0" fillId="34" borderId="0" xfId="0" applyFill="1"/>
    <xf numFmtId="166" fontId="0" fillId="0" borderId="0" xfId="0" applyNumberFormat="1"/>
    <xf numFmtId="44" fontId="0" fillId="0" borderId="0" xfId="42" applyFont="1"/>
    <xf numFmtId="9" fontId="0" fillId="34" borderId="0" xfId="43" applyFont="1" applyFill="1"/>
    <xf numFmtId="171"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2">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[TechMart.xlsx]KPI!PivotTable1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Total 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KPI!$A$2:$A$8</c:f>
              <c:strCache>
                <c:ptCount val="6"/>
                <c:pt idx="0">
                  <c:v>Berlin</c:v>
                </c:pt>
                <c:pt idx="1">
                  <c:v>Dubai</c:v>
                </c:pt>
                <c:pt idx="2">
                  <c:v>London</c:v>
                </c:pt>
                <c:pt idx="3">
                  <c:v>New York</c:v>
                </c:pt>
                <c:pt idx="4">
                  <c:v>Singapore</c:v>
                </c:pt>
                <c:pt idx="5">
                  <c:v>Toronto</c:v>
                </c:pt>
              </c:strCache>
            </c:strRef>
          </c:cat>
          <c:val>
            <c:numRef>
              <c:f>KPI!$B$2:$B$8</c:f>
              <c:numCache>
                <c:formatCode>_("$"* #,##0_);_("$"* \(#,##0\);_("$"* "-"??_);_(@_)</c:formatCode>
                <c:ptCount val="6"/>
                <c:pt idx="0">
                  <c:v>57831.28</c:v>
                </c:pt>
                <c:pt idx="1">
                  <c:v>82126.14</c:v>
                </c:pt>
                <c:pt idx="2">
                  <c:v>118707.99</c:v>
                </c:pt>
                <c:pt idx="3">
                  <c:v>53743.199999999997</c:v>
                </c:pt>
                <c:pt idx="4">
                  <c:v>55061.01</c:v>
                </c:pt>
                <c:pt idx="5">
                  <c:v>54029.65</c:v>
                </c:pt>
              </c:numCache>
            </c:numRef>
          </c:val>
          <c:extLst>
            <c:ext xmlns:c16="http://schemas.microsoft.com/office/drawing/2014/chart" uri="{C3380CC4-5D6E-409C-BE32-E72D297353CC}">
              <c16:uniqueId val="{00000000-2793-4C34-A150-834F823C1F79}"/>
            </c:ext>
          </c:extLst>
        </c:ser>
        <c:dLbls>
          <c:dLblPos val="outEnd"/>
          <c:showLegendKey val="0"/>
          <c:showVal val="1"/>
          <c:showCatName val="0"/>
          <c:showSerName val="0"/>
          <c:showPercent val="0"/>
          <c:showBubbleSize val="0"/>
        </c:dLbls>
        <c:gapWidth val="219"/>
        <c:overlap val="-27"/>
        <c:axId val="1535232560"/>
        <c:axId val="2621072"/>
      </c:barChart>
      <c:catAx>
        <c:axId val="153523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621072"/>
        <c:crosses val="autoZero"/>
        <c:auto val="1"/>
        <c:lblAlgn val="ctr"/>
        <c:lblOffset val="100"/>
        <c:noMultiLvlLbl val="0"/>
      </c:catAx>
      <c:valAx>
        <c:axId val="262107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35232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[TechMart.xlsx]KPI!PivotTable2</c:name>
    <c:fmtId val="2"/>
  </c:pivotSource>
  <c:chart>
    <c:title>
      <c:tx>
        <c:rich>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r>
              <a:rPr lang="en-US" sz="1400" b="0" i="0" u="none" strike="noStrike" kern="1200" spc="0" baseline="0">
                <a:solidFill>
                  <a:schemeClr val="tx1">
                    <a:lumMod val="95000"/>
                    <a:lumOff val="5000"/>
                  </a:schemeClr>
                </a:solidFill>
                <a:latin typeface="+mn-lt"/>
                <a:ea typeface="+mn-ea"/>
                <a:cs typeface="+mn-cs"/>
              </a:rPr>
              <a:t>Total Revenue by Gender</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055555555555545E-2"/>
              <c:y val="-0.1157407407407408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305555555555555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055555555555545E-2"/>
              <c:y val="-0.1157407407407408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05555555555555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8.055555555555545E-2"/>
              <c:y val="-0.1157407407407408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3055555555555559"/>
              <c:y val="4.6296296296296294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KPI!$E$1</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62EB-4FFF-91CB-0A3E600C65BF}"/>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62EB-4FFF-91CB-0A3E600C65BF}"/>
              </c:ext>
            </c:extLst>
          </c:dPt>
          <c:dLbls>
            <c:dLbl>
              <c:idx val="0"/>
              <c:layout>
                <c:manualLayout>
                  <c:x val="8.055555555555545E-2"/>
                  <c:y val="-0.1157407407407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EB-4FFF-91CB-0A3E600C65BF}"/>
                </c:ext>
              </c:extLst>
            </c:dLbl>
            <c:dLbl>
              <c:idx val="1"/>
              <c:layout>
                <c:manualLayout>
                  <c:x val="-0.13055555555555559"/>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EB-4FFF-91CB-0A3E600C65BF}"/>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KPI!$D$2:$D$4</c:f>
              <c:strCache>
                <c:ptCount val="2"/>
                <c:pt idx="0">
                  <c:v>Female</c:v>
                </c:pt>
                <c:pt idx="1">
                  <c:v>Male</c:v>
                </c:pt>
              </c:strCache>
            </c:strRef>
          </c:cat>
          <c:val>
            <c:numRef>
              <c:f>KPI!$E$2:$E$4</c:f>
              <c:numCache>
                <c:formatCode>_("$"* #,##0_);_("$"* \(#,##0\);_("$"* "-"??_);_(@_)</c:formatCode>
                <c:ptCount val="2"/>
                <c:pt idx="0">
                  <c:v>202168.55</c:v>
                </c:pt>
                <c:pt idx="1">
                  <c:v>219330.72</c:v>
                </c:pt>
              </c:numCache>
            </c:numRef>
          </c:val>
          <c:extLst>
            <c:ext xmlns:c16="http://schemas.microsoft.com/office/drawing/2014/chart" uri="{C3380CC4-5D6E-409C-BE32-E72D297353CC}">
              <c16:uniqueId val="{00000004-62EB-4FFF-91CB-0A3E600C65B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[TechMart.xlsx]KPI!PivotTable3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800" b="0" i="0" baseline="0">
                <a:effectLst/>
              </a:rPr>
              <a:t>Total Revenue by Product Category</a:t>
            </a:r>
            <a:endParaRPr lang="en-US">
              <a:effectLst/>
            </a:endParaRPr>
          </a:p>
        </c:rich>
      </c:tx>
      <c:layout>
        <c:manualLayout>
          <c:xMode val="edge"/>
          <c:yMode val="edge"/>
          <c:x val="0.12880555555555559"/>
          <c:y val="4.6296296296296294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KPI!$H$1</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KPI!$G$2:$G$7</c:f>
              <c:strCache>
                <c:ptCount val="5"/>
                <c:pt idx="0">
                  <c:v>Laptops</c:v>
                </c:pt>
                <c:pt idx="1">
                  <c:v>Smartphones</c:v>
                </c:pt>
                <c:pt idx="2">
                  <c:v>Wearables</c:v>
                </c:pt>
                <c:pt idx="3">
                  <c:v>Tablets</c:v>
                </c:pt>
                <c:pt idx="4">
                  <c:v>Accessories</c:v>
                </c:pt>
              </c:strCache>
            </c:strRef>
          </c:cat>
          <c:val>
            <c:numRef>
              <c:f>KPI!$H$2:$H$7</c:f>
              <c:numCache>
                <c:formatCode>_("$"* #,##0_);_("$"* \(#,##0\);_("$"* "-"??_);_(@_)</c:formatCode>
                <c:ptCount val="5"/>
                <c:pt idx="0">
                  <c:v>214058.21</c:v>
                </c:pt>
                <c:pt idx="1">
                  <c:v>105545.61</c:v>
                </c:pt>
                <c:pt idx="2">
                  <c:v>51321.440000000002</c:v>
                </c:pt>
                <c:pt idx="3">
                  <c:v>40621.800000000003</c:v>
                </c:pt>
                <c:pt idx="4">
                  <c:v>9952.2099999999991</c:v>
                </c:pt>
              </c:numCache>
            </c:numRef>
          </c:val>
          <c:extLst>
            <c:ext xmlns:c16="http://schemas.microsoft.com/office/drawing/2014/chart" uri="{C3380CC4-5D6E-409C-BE32-E72D297353CC}">
              <c16:uniqueId val="{00000000-E875-4D46-9B61-677A422DC600}"/>
            </c:ext>
          </c:extLst>
        </c:ser>
        <c:dLbls>
          <c:dLblPos val="outEnd"/>
          <c:showLegendKey val="0"/>
          <c:showVal val="1"/>
          <c:showCatName val="0"/>
          <c:showSerName val="0"/>
          <c:showPercent val="0"/>
          <c:showBubbleSize val="0"/>
        </c:dLbls>
        <c:gapWidth val="182"/>
        <c:axId val="7489056"/>
        <c:axId val="2618576"/>
      </c:barChart>
      <c:catAx>
        <c:axId val="748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618576"/>
        <c:crosses val="autoZero"/>
        <c:auto val="1"/>
        <c:lblAlgn val="ctr"/>
        <c:lblOffset val="100"/>
        <c:noMultiLvlLbl val="0"/>
      </c:catAx>
      <c:valAx>
        <c:axId val="2618576"/>
        <c:scaling>
          <c:orientation val="minMax"/>
        </c:scaling>
        <c:delete val="1"/>
        <c:axPos val="b"/>
        <c:numFmt formatCode="_(&quot;$&quot;* #,##0_);_(&quot;$&quot;* \(#,##0\);_(&quot;$&quot;* &quot;-&quot;??_);_(@_)" sourceLinked="1"/>
        <c:majorTickMark val="none"/>
        <c:minorTickMark val="none"/>
        <c:tickLblPos val="nextTo"/>
        <c:crossAx val="7489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[TechMart.xlsx]KPI!PivotTable4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800" b="0" i="0" baseline="0">
                <a:effectLst/>
              </a:rPr>
              <a:t>Total Revenue by Month</a:t>
            </a:r>
            <a:endParaRPr lang="en-US">
              <a:effectLst/>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layout>
            <c:manualLayout>
              <c:x val="-2.1259988840732671E-2"/>
              <c:y val="2.5610846794453683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dLbl>
          <c:idx val="0"/>
          <c:layout>
            <c:manualLayout>
              <c:x val="3.6531234904497993E-2"/>
              <c:y val="2.0468919478632861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dLbl>
          <c:idx val="0"/>
          <c:layout>
            <c:manualLayout>
              <c:x val="-3.3449951838446075E-2"/>
              <c:y val="4.9447526226865414E-3"/>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dLbl>
          <c:idx val="0"/>
          <c:layout>
            <c:manualLayout>
              <c:x val="3.6531234904497993E-2"/>
              <c:y val="2.0321139677823841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dLbl>
          <c:idx val="0"/>
          <c:layout>
            <c:manualLayout>
              <c:x val="2.134377938070868E-2"/>
              <c:y val="1.0283854631641592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dLbl>
          <c:idx val="0"/>
          <c:layout>
            <c:manualLayout>
              <c:x val="-1.8294668040607455E-2"/>
              <c:y val="1.542578194746245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KPI!$B$11</c:f>
              <c:strCache>
                <c:ptCount val="1"/>
                <c:pt idx="0">
                  <c:v>Total</c:v>
                </c:pt>
              </c:strCache>
            </c:strRef>
          </c:tx>
          <c:spPr>
            <a:solidFill>
              <a:schemeClr val="accent6">
                <a:lumMod val="50000"/>
              </a:schemeClr>
            </a:solidFill>
            <a:ln>
              <a:noFill/>
            </a:ln>
            <a:effectLst/>
          </c:spPr>
          <c:invertIfNegative val="0"/>
          <c:dLbls>
            <c:dLbl>
              <c:idx val="1"/>
              <c:layout>
                <c:manualLayout>
                  <c:x val="-1.8294668040607455E-2"/>
                  <c:y val="1.54257819474624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4B-44D2-9B5E-9C4625F53B47}"/>
                </c:ext>
              </c:extLst>
            </c:dLbl>
            <c:dLbl>
              <c:idx val="2"/>
              <c:layout>
                <c:manualLayout>
                  <c:x val="2.134377938070868E-2"/>
                  <c:y val="1.02838546316415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4B-44D2-9B5E-9C4625F53B47}"/>
                </c:ext>
              </c:extLst>
            </c:dLbl>
            <c:dLbl>
              <c:idx val="5"/>
              <c:layout>
                <c:manualLayout>
                  <c:x val="-2.1259988840732671E-2"/>
                  <c:y val="2.56108467944536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4B-44D2-9B5E-9C4625F53B47}"/>
                </c:ext>
              </c:extLst>
            </c:dLbl>
            <c:dLbl>
              <c:idx val="6"/>
              <c:layout>
                <c:manualLayout>
                  <c:x val="3.6531234904497993E-2"/>
                  <c:y val="2.04689194786328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4B-44D2-9B5E-9C4625F53B47}"/>
                </c:ext>
              </c:extLst>
            </c:dLbl>
            <c:dLbl>
              <c:idx val="9"/>
              <c:layout>
                <c:manualLayout>
                  <c:x val="-3.3449951838446075E-2"/>
                  <c:y val="4.94475262268654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A4B-44D2-9B5E-9C4625F53B47}"/>
                </c:ext>
              </c:extLst>
            </c:dLbl>
            <c:dLbl>
              <c:idx val="10"/>
              <c:layout>
                <c:manualLayout>
                  <c:x val="3.6531234904497993E-2"/>
                  <c:y val="2.03211396778238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A4B-44D2-9B5E-9C4625F53B47}"/>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KPI!$B$12:$B$24</c:f>
              <c:numCache>
                <c:formatCode>_("$"* #,##0_);_("$"* \(#,##0\);_("$"* "-"??_);_(@_)</c:formatCode>
                <c:ptCount val="12"/>
                <c:pt idx="0">
                  <c:v>21558.11</c:v>
                </c:pt>
                <c:pt idx="1">
                  <c:v>40051.5</c:v>
                </c:pt>
                <c:pt idx="2">
                  <c:v>45513.15</c:v>
                </c:pt>
                <c:pt idx="3">
                  <c:v>30778.39</c:v>
                </c:pt>
                <c:pt idx="4">
                  <c:v>37745.39</c:v>
                </c:pt>
                <c:pt idx="5">
                  <c:v>54345.62</c:v>
                </c:pt>
                <c:pt idx="6">
                  <c:v>53382.879999999997</c:v>
                </c:pt>
                <c:pt idx="7">
                  <c:v>43028.08</c:v>
                </c:pt>
                <c:pt idx="8">
                  <c:v>4433.3999999999996</c:v>
                </c:pt>
                <c:pt idx="9">
                  <c:v>34722.160000000003</c:v>
                </c:pt>
                <c:pt idx="10">
                  <c:v>34605.35</c:v>
                </c:pt>
                <c:pt idx="11">
                  <c:v>21335.24</c:v>
                </c:pt>
              </c:numCache>
            </c:numRef>
          </c:val>
          <c:extLst>
            <c:ext xmlns:c16="http://schemas.microsoft.com/office/drawing/2014/chart" uri="{C3380CC4-5D6E-409C-BE32-E72D297353CC}">
              <c16:uniqueId val="{00000001-AA4B-44D2-9B5E-9C4625F53B47}"/>
            </c:ext>
          </c:extLst>
        </c:ser>
        <c:dLbls>
          <c:dLblPos val="outEnd"/>
          <c:showLegendKey val="0"/>
          <c:showVal val="1"/>
          <c:showCatName val="0"/>
          <c:showSerName val="0"/>
          <c:showPercent val="0"/>
          <c:showBubbleSize val="0"/>
        </c:dLbls>
        <c:gapWidth val="182"/>
        <c:axId val="6162752"/>
        <c:axId val="160666176"/>
      </c:barChart>
      <c:catAx>
        <c:axId val="616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0666176"/>
        <c:crosses val="autoZero"/>
        <c:auto val="1"/>
        <c:lblAlgn val="ctr"/>
        <c:lblOffset val="100"/>
        <c:noMultiLvlLbl val="0"/>
      </c:catAx>
      <c:valAx>
        <c:axId val="160666176"/>
        <c:scaling>
          <c:orientation val="minMax"/>
        </c:scaling>
        <c:delete val="1"/>
        <c:axPos val="l"/>
        <c:numFmt formatCode="_(&quot;$&quot;* #,##0_);_(&quot;$&quot;* \(#,##0\);_(&quot;$&quot;* &quot;-&quot;??_);_(@_)" sourceLinked="1"/>
        <c:majorTickMark val="none"/>
        <c:minorTickMark val="none"/>
        <c:tickLblPos val="nextTo"/>
        <c:crossAx val="616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[TechMart.xlsx]KPI!PivotTable5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800" b="0" i="0" baseline="0">
                <a:effectLst/>
              </a:rPr>
              <a:t>Total Revenue by Brand</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KPI!$E$11</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KPI!$D$12:$D$19</c:f>
              <c:strCache>
                <c:ptCount val="7"/>
                <c:pt idx="0">
                  <c:v>Anker</c:v>
                </c:pt>
                <c:pt idx="1">
                  <c:v>Apple</c:v>
                </c:pt>
                <c:pt idx="2">
                  <c:v>Dell</c:v>
                </c:pt>
                <c:pt idx="3">
                  <c:v>Garmin</c:v>
                </c:pt>
                <c:pt idx="4">
                  <c:v>HP</c:v>
                </c:pt>
                <c:pt idx="5">
                  <c:v>Logitech</c:v>
                </c:pt>
                <c:pt idx="6">
                  <c:v>Samsung</c:v>
                </c:pt>
              </c:strCache>
            </c:strRef>
          </c:cat>
          <c:val>
            <c:numRef>
              <c:f>KPI!$E$12:$E$19</c:f>
              <c:numCache>
                <c:formatCode>_("$"* #,##0_);_("$"* \(#,##0\);_("$"* "-"??_);_(@_)</c:formatCode>
                <c:ptCount val="7"/>
                <c:pt idx="0">
                  <c:v>3899.92</c:v>
                </c:pt>
                <c:pt idx="1">
                  <c:v>153440.13</c:v>
                </c:pt>
                <c:pt idx="2">
                  <c:v>64102.79</c:v>
                </c:pt>
                <c:pt idx="3">
                  <c:v>29112.07</c:v>
                </c:pt>
                <c:pt idx="4">
                  <c:v>79384.679999999993</c:v>
                </c:pt>
                <c:pt idx="5">
                  <c:v>6052.29</c:v>
                </c:pt>
                <c:pt idx="6">
                  <c:v>85507.39</c:v>
                </c:pt>
              </c:numCache>
            </c:numRef>
          </c:val>
          <c:extLst>
            <c:ext xmlns:c16="http://schemas.microsoft.com/office/drawing/2014/chart" uri="{C3380CC4-5D6E-409C-BE32-E72D297353CC}">
              <c16:uniqueId val="{00000000-F20F-4E1E-8857-EAB8D900F888}"/>
            </c:ext>
          </c:extLst>
        </c:ser>
        <c:dLbls>
          <c:dLblPos val="outEnd"/>
          <c:showLegendKey val="0"/>
          <c:showVal val="1"/>
          <c:showCatName val="0"/>
          <c:showSerName val="0"/>
          <c:showPercent val="0"/>
          <c:showBubbleSize val="0"/>
        </c:dLbls>
        <c:gapWidth val="219"/>
        <c:overlap val="-27"/>
        <c:axId val="1391502672"/>
        <c:axId val="160656608"/>
      </c:barChart>
      <c:catAx>
        <c:axId val="139150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0656608"/>
        <c:crosses val="autoZero"/>
        <c:auto val="1"/>
        <c:lblAlgn val="ctr"/>
        <c:lblOffset val="100"/>
        <c:noMultiLvlLbl val="0"/>
      </c:catAx>
      <c:valAx>
        <c:axId val="16065660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91502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[TechMart.xlsx]KPI!PivotTable6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800" b="0" i="0" baseline="0">
                <a:effectLst/>
              </a:rPr>
              <a:t>Total Revenue by Store type</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s>
    <c:plotArea>
      <c:layout/>
      <c:pieChart>
        <c:varyColors val="1"/>
        <c:ser>
          <c:idx val="0"/>
          <c:order val="0"/>
          <c:tx>
            <c:strRef>
              <c:f>KPI!$H$11</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1C5B-40DE-9468-42A8AD57D57F}"/>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1C5B-40DE-9468-42A8AD57D57F}"/>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1C5B-40DE-9468-42A8AD57D57F}"/>
              </c:ext>
            </c:extLst>
          </c:dPt>
          <c:dLbls>
            <c:spPr>
              <a:noFill/>
              <a:ln>
                <a:noFill/>
              </a:ln>
              <a:effectLst/>
            </c:spPr>
            <c:txPr>
              <a:bodyPr rot="0" spcFirstLastPara="1" vertOverflow="ellipsis" vert="horz" wrap="square" anchor="ctr" anchorCtr="1"/>
              <a:lstStyle/>
              <a:p>
                <a:pPr>
                  <a:defRPr lang="en-US" sz="1000" b="0" i="0" u="none" strike="noStrike" kern="1200" baseline="0">
                    <a:ln>
                      <a:no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KPI!$G$12:$G$15</c:f>
              <c:strCache>
                <c:ptCount val="3"/>
                <c:pt idx="0">
                  <c:v>Flagship Store</c:v>
                </c:pt>
                <c:pt idx="1">
                  <c:v>Mall Kiosk</c:v>
                </c:pt>
                <c:pt idx="2">
                  <c:v>Online</c:v>
                </c:pt>
              </c:strCache>
            </c:strRef>
          </c:cat>
          <c:val>
            <c:numRef>
              <c:f>KPI!$H$12:$H$15</c:f>
              <c:numCache>
                <c:formatCode>_("$"* #,##0_);_("$"* \(#,##0\);_("$"* "-"??_);_(@_)</c:formatCode>
                <c:ptCount val="3"/>
                <c:pt idx="0">
                  <c:v>112004.94</c:v>
                </c:pt>
                <c:pt idx="1">
                  <c:v>142013.85</c:v>
                </c:pt>
                <c:pt idx="2">
                  <c:v>167480.48000000001</c:v>
                </c:pt>
              </c:numCache>
            </c:numRef>
          </c:val>
          <c:extLst>
            <c:ext xmlns:c16="http://schemas.microsoft.com/office/drawing/2014/chart" uri="{C3380CC4-5D6E-409C-BE32-E72D297353CC}">
              <c16:uniqueId val="{00000006-1C5B-40DE-9468-42A8AD57D57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[TechMart.xlsx]KPI!PivotTable7</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0" i="0" baseline="0">
                <a:effectLst/>
              </a:rPr>
              <a:t>Total Revenue by Payment Method</a:t>
            </a:r>
            <a:endParaRPr lang="en-US" sz="1100">
              <a:effectLst/>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KPI!$B$28</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KPI!$A$29:$A$33</c:f>
              <c:strCache>
                <c:ptCount val="4"/>
                <c:pt idx="0">
                  <c:v>Bank Transfer</c:v>
                </c:pt>
                <c:pt idx="1">
                  <c:v>Cash</c:v>
                </c:pt>
                <c:pt idx="2">
                  <c:v>Credit card</c:v>
                </c:pt>
                <c:pt idx="3">
                  <c:v>Ewallet</c:v>
                </c:pt>
              </c:strCache>
            </c:strRef>
          </c:cat>
          <c:val>
            <c:numRef>
              <c:f>KPI!$B$29:$B$33</c:f>
              <c:numCache>
                <c:formatCode>_("$"* #,##0_);_("$"* \(#,##0\);_("$"* "-"??_);_(@_)</c:formatCode>
                <c:ptCount val="4"/>
                <c:pt idx="0">
                  <c:v>103754.91</c:v>
                </c:pt>
                <c:pt idx="1">
                  <c:v>63976.42</c:v>
                </c:pt>
                <c:pt idx="2">
                  <c:v>124901.82</c:v>
                </c:pt>
                <c:pt idx="3">
                  <c:v>128866.12</c:v>
                </c:pt>
              </c:numCache>
            </c:numRef>
          </c:val>
          <c:extLst>
            <c:ext xmlns:c16="http://schemas.microsoft.com/office/drawing/2014/chart" uri="{C3380CC4-5D6E-409C-BE32-E72D297353CC}">
              <c16:uniqueId val="{00000000-A10F-4D4A-9A9D-C5C01E4A7BA4}"/>
            </c:ext>
          </c:extLst>
        </c:ser>
        <c:dLbls>
          <c:dLblPos val="outEnd"/>
          <c:showLegendKey val="0"/>
          <c:showVal val="1"/>
          <c:showCatName val="0"/>
          <c:showSerName val="0"/>
          <c:showPercent val="0"/>
          <c:showBubbleSize val="0"/>
        </c:dLbls>
        <c:gapWidth val="219"/>
        <c:overlap val="-27"/>
        <c:axId val="1547452960"/>
        <c:axId val="7277168"/>
      </c:barChart>
      <c:catAx>
        <c:axId val="154745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277168"/>
        <c:crosses val="autoZero"/>
        <c:auto val="1"/>
        <c:lblAlgn val="ctr"/>
        <c:lblOffset val="100"/>
        <c:noMultiLvlLbl val="0"/>
      </c:catAx>
      <c:valAx>
        <c:axId val="727716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4745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24423</xdr:colOff>
      <xdr:row>0</xdr:row>
      <xdr:rowOff>31750</xdr:rowOff>
    </xdr:from>
    <xdr:to>
      <xdr:col>23</xdr:col>
      <xdr:colOff>486833</xdr:colOff>
      <xdr:row>4</xdr:row>
      <xdr:rowOff>155058</xdr:rowOff>
    </xdr:to>
    <xdr:sp macro="" textlink="">
      <xdr:nvSpPr>
        <xdr:cNvPr id="2" name="Rectangle 1">
          <a:extLst>
            <a:ext uri="{FF2B5EF4-FFF2-40B4-BE49-F238E27FC236}">
              <a16:creationId xmlns:a16="http://schemas.microsoft.com/office/drawing/2014/main" id="{FF77B593-CF96-423E-8534-4BBCC5FE3B98}"/>
            </a:ext>
          </a:extLst>
        </xdr:cNvPr>
        <xdr:cNvSpPr/>
      </xdr:nvSpPr>
      <xdr:spPr>
        <a:xfrm>
          <a:off x="24423" y="31750"/>
          <a:ext cx="14580577" cy="885308"/>
        </a:xfrm>
        <a:prstGeom prst="rect">
          <a:avLst/>
        </a:prstGeom>
        <a:solidFill>
          <a:schemeClr val="accent6">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t>TechMart</a:t>
          </a:r>
        </a:p>
      </xdr:txBody>
    </xdr:sp>
    <xdr:clientData/>
  </xdr:twoCellAnchor>
  <xdr:twoCellAnchor>
    <xdr:from>
      <xdr:col>0</xdr:col>
      <xdr:colOff>0</xdr:colOff>
      <xdr:row>4</xdr:row>
      <xdr:rowOff>155058</xdr:rowOff>
    </xdr:from>
    <xdr:to>
      <xdr:col>2</xdr:col>
      <xdr:colOff>219808</xdr:colOff>
      <xdr:row>45</xdr:row>
      <xdr:rowOff>158749</xdr:rowOff>
    </xdr:to>
    <xdr:sp macro="" textlink="">
      <xdr:nvSpPr>
        <xdr:cNvPr id="4" name="Rectangle 3">
          <a:extLst>
            <a:ext uri="{FF2B5EF4-FFF2-40B4-BE49-F238E27FC236}">
              <a16:creationId xmlns:a16="http://schemas.microsoft.com/office/drawing/2014/main" id="{8ABEC106-9705-4A57-B8AA-5FEC1DAB4018}"/>
            </a:ext>
          </a:extLst>
        </xdr:cNvPr>
        <xdr:cNvSpPr/>
      </xdr:nvSpPr>
      <xdr:spPr>
        <a:xfrm>
          <a:off x="0" y="936596"/>
          <a:ext cx="1440962" cy="8014461"/>
        </a:xfrm>
        <a:prstGeom prst="rect">
          <a:avLst/>
        </a:prstGeom>
        <a:solidFill>
          <a:schemeClr val="accent6">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380998</xdr:colOff>
      <xdr:row>5</xdr:row>
      <xdr:rowOff>63499</xdr:rowOff>
    </xdr:from>
    <xdr:to>
      <xdr:col>9</xdr:col>
      <xdr:colOff>63498</xdr:colOff>
      <xdr:row>18</xdr:row>
      <xdr:rowOff>79375</xdr:rowOff>
    </xdr:to>
    <xdr:graphicFrame macro="">
      <xdr:nvGraphicFramePr>
        <xdr:cNvPr id="5" name="Chart 4">
          <a:extLst>
            <a:ext uri="{FF2B5EF4-FFF2-40B4-BE49-F238E27FC236}">
              <a16:creationId xmlns:a16="http://schemas.microsoft.com/office/drawing/2014/main" id="{1B631A32-AA50-413E-BCD6-DC8F9E431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380998</xdr:colOff>
      <xdr:row>19</xdr:row>
      <xdr:rowOff>63500</xdr:rowOff>
    </xdr:from>
    <xdr:to>
      <xdr:col>9</xdr:col>
      <xdr:colOff>63498</xdr:colOff>
      <xdr:row>32</xdr:row>
      <xdr:rowOff>127000</xdr:rowOff>
    </xdr:to>
    <xdr:graphicFrame macro="">
      <xdr:nvGraphicFramePr>
        <xdr:cNvPr id="6" name="Chart 5">
          <a:extLst>
            <a:ext uri="{FF2B5EF4-FFF2-40B4-BE49-F238E27FC236}">
              <a16:creationId xmlns:a16="http://schemas.microsoft.com/office/drawing/2014/main" id="{B8337826-F36A-431E-BC10-27466B756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225134</xdr:colOff>
      <xdr:row>5</xdr:row>
      <xdr:rowOff>69272</xdr:rowOff>
    </xdr:from>
    <xdr:to>
      <xdr:col>16</xdr:col>
      <xdr:colOff>173180</xdr:colOff>
      <xdr:row>18</xdr:row>
      <xdr:rowOff>86591</xdr:rowOff>
    </xdr:to>
    <xdr:graphicFrame macro="">
      <xdr:nvGraphicFramePr>
        <xdr:cNvPr id="7" name="Chart 6">
          <a:extLst>
            <a:ext uri="{FF2B5EF4-FFF2-40B4-BE49-F238E27FC236}">
              <a16:creationId xmlns:a16="http://schemas.microsoft.com/office/drawing/2014/main" id="{36938F67-C23A-4D87-9B50-25BC46DA4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225135</xdr:colOff>
      <xdr:row>19</xdr:row>
      <xdr:rowOff>69272</xdr:rowOff>
    </xdr:from>
    <xdr:to>
      <xdr:col>16</xdr:col>
      <xdr:colOff>138544</xdr:colOff>
      <xdr:row>32</xdr:row>
      <xdr:rowOff>86591</xdr:rowOff>
    </xdr:to>
    <xdr:graphicFrame macro="">
      <xdr:nvGraphicFramePr>
        <xdr:cNvPr id="8" name="Chart 7">
          <a:extLst>
            <a:ext uri="{FF2B5EF4-FFF2-40B4-BE49-F238E27FC236}">
              <a16:creationId xmlns:a16="http://schemas.microsoft.com/office/drawing/2014/main" id="{83982401-24DB-4EA6-8D64-0590E517C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338664</xdr:colOff>
      <xdr:row>5</xdr:row>
      <xdr:rowOff>74083</xdr:rowOff>
    </xdr:from>
    <xdr:to>
      <xdr:col>23</xdr:col>
      <xdr:colOff>338665</xdr:colOff>
      <xdr:row>18</xdr:row>
      <xdr:rowOff>84667</xdr:rowOff>
    </xdr:to>
    <xdr:graphicFrame macro="">
      <xdr:nvGraphicFramePr>
        <xdr:cNvPr id="9" name="Chart 8">
          <a:extLst>
            <a:ext uri="{FF2B5EF4-FFF2-40B4-BE49-F238E27FC236}">
              <a16:creationId xmlns:a16="http://schemas.microsoft.com/office/drawing/2014/main" id="{4293BD40-8492-4D31-8493-C2ACC98F4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333373</xdr:colOff>
      <xdr:row>19</xdr:row>
      <xdr:rowOff>119063</xdr:rowOff>
    </xdr:from>
    <xdr:to>
      <xdr:col>23</xdr:col>
      <xdr:colOff>333373</xdr:colOff>
      <xdr:row>32</xdr:row>
      <xdr:rowOff>119062</xdr:rowOff>
    </xdr:to>
    <xdr:graphicFrame macro="">
      <xdr:nvGraphicFramePr>
        <xdr:cNvPr id="10" name="Chart 9">
          <a:extLst>
            <a:ext uri="{FF2B5EF4-FFF2-40B4-BE49-F238E27FC236}">
              <a16:creationId xmlns:a16="http://schemas.microsoft.com/office/drawing/2014/main" id="{0E7310BD-8D54-4F65-9768-91C541C67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374521</xdr:colOff>
      <xdr:row>33</xdr:row>
      <xdr:rowOff>93279</xdr:rowOff>
    </xdr:from>
    <xdr:to>
      <xdr:col>9</xdr:col>
      <xdr:colOff>57725</xdr:colOff>
      <xdr:row>45</xdr:row>
      <xdr:rowOff>129886</xdr:rowOff>
    </xdr:to>
    <xdr:graphicFrame macro="">
      <xdr:nvGraphicFramePr>
        <xdr:cNvPr id="11" name="Chart 10">
          <a:extLst>
            <a:ext uri="{FF2B5EF4-FFF2-40B4-BE49-F238E27FC236}">
              <a16:creationId xmlns:a16="http://schemas.microsoft.com/office/drawing/2014/main" id="{695E2CCA-33A5-45FC-90C5-DED5EC1F5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356616</xdr:colOff>
      <xdr:row>33</xdr:row>
      <xdr:rowOff>55503</xdr:rowOff>
    </xdr:from>
    <xdr:to>
      <xdr:col>19</xdr:col>
      <xdr:colOff>498399</xdr:colOff>
      <xdr:row>37</xdr:row>
      <xdr:rowOff>77528</xdr:rowOff>
    </xdr:to>
    <xdr:sp macro="" textlink="KPI!E27">
      <xdr:nvSpPr>
        <xdr:cNvPr id="12" name="Rectangle 11">
          <a:extLst>
            <a:ext uri="{FF2B5EF4-FFF2-40B4-BE49-F238E27FC236}">
              <a16:creationId xmlns:a16="http://schemas.microsoft.com/office/drawing/2014/main" id="{D9816E0F-7EF1-4153-B416-4E350ABB3369}"/>
            </a:ext>
          </a:extLst>
        </xdr:cNvPr>
        <xdr:cNvSpPr/>
      </xdr:nvSpPr>
      <xdr:spPr>
        <a:xfrm>
          <a:off x="10125847" y="6503195"/>
          <a:ext cx="1973514" cy="803564"/>
        </a:xfrm>
        <a:prstGeom prst="rect">
          <a:avLst/>
        </a:prstGeom>
        <a:solidFill>
          <a:schemeClr val="accent6">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6CB5EFB-466E-42B1-B16F-0C95653779FE}" type="TxLink">
            <a:rPr lang="en-US" sz="3200" b="0" i="0" u="none" strike="noStrike">
              <a:solidFill>
                <a:schemeClr val="bg1"/>
              </a:solidFill>
              <a:latin typeface="Calibri"/>
              <a:ea typeface="Calibri"/>
              <a:cs typeface="Calibri"/>
            </a:rPr>
            <a:pPr algn="ctr"/>
            <a:t>200</a:t>
          </a:fld>
          <a:endParaRPr lang="en-US" sz="3200">
            <a:solidFill>
              <a:schemeClr val="bg1"/>
            </a:solidFill>
          </a:endParaRPr>
        </a:p>
      </xdr:txBody>
    </xdr:sp>
    <xdr:clientData/>
  </xdr:twoCellAnchor>
  <xdr:twoCellAnchor editAs="oneCell">
    <xdr:from>
      <xdr:col>9</xdr:col>
      <xdr:colOff>217626</xdr:colOff>
      <xdr:row>33</xdr:row>
      <xdr:rowOff>65523</xdr:rowOff>
    </xdr:from>
    <xdr:to>
      <xdr:col>16</xdr:col>
      <xdr:colOff>136070</xdr:colOff>
      <xdr:row>41</xdr:row>
      <xdr:rowOff>45358</xdr:rowOff>
    </xdr:to>
    <mc:AlternateContent xmlns:mc="http://schemas.openxmlformats.org/markup-compatibility/2006">
      <mc:Choice xmlns:tsle="http://schemas.microsoft.com/office/drawing/2012/timeslicer" Requires="tsle">
        <xdr:graphicFrame macro="">
          <xdr:nvGraphicFramePr>
            <xdr:cNvPr id="13" name="Date">
              <a:extLst>
                <a:ext uri="{FF2B5EF4-FFF2-40B4-BE49-F238E27FC236}">
                  <a16:creationId xmlns:a16="http://schemas.microsoft.com/office/drawing/2014/main" id="{F1BD8603-888B-47F9-B9D8-E5FB6965194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641044" y="6480319"/>
              <a:ext cx="4136659" cy="153493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20</xdr:col>
      <xdr:colOff>198900</xdr:colOff>
      <xdr:row>33</xdr:row>
      <xdr:rowOff>52845</xdr:rowOff>
    </xdr:from>
    <xdr:to>
      <xdr:col>23</xdr:col>
      <xdr:colOff>340683</xdr:colOff>
      <xdr:row>37</xdr:row>
      <xdr:rowOff>74870</xdr:rowOff>
    </xdr:to>
    <xdr:sp macro="" textlink="KPI!F27">
      <xdr:nvSpPr>
        <xdr:cNvPr id="16" name="Rectangle 15">
          <a:extLst>
            <a:ext uri="{FF2B5EF4-FFF2-40B4-BE49-F238E27FC236}">
              <a16:creationId xmlns:a16="http://schemas.microsoft.com/office/drawing/2014/main" id="{3A05F16C-0A17-4599-90A3-579AEF455F83}"/>
            </a:ext>
          </a:extLst>
        </xdr:cNvPr>
        <xdr:cNvSpPr/>
      </xdr:nvSpPr>
      <xdr:spPr>
        <a:xfrm>
          <a:off x="12410438" y="6500537"/>
          <a:ext cx="1973514" cy="803564"/>
        </a:xfrm>
        <a:prstGeom prst="rect">
          <a:avLst/>
        </a:prstGeom>
        <a:solidFill>
          <a:schemeClr val="accent6">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5DAE17F-36F8-4E49-B5B9-78C2A6F70599}" type="TxLink">
            <a:rPr lang="en-US" sz="3200" b="0" i="0" u="none" strike="noStrike">
              <a:solidFill>
                <a:schemeClr val="bg1"/>
              </a:solidFill>
              <a:latin typeface="Calibri"/>
              <a:ea typeface="Calibri"/>
              <a:cs typeface="Calibri"/>
            </a:rPr>
            <a:pPr algn="ctr"/>
            <a:t>640</a:t>
          </a:fld>
          <a:endParaRPr lang="en-US" sz="3200">
            <a:solidFill>
              <a:schemeClr val="bg1"/>
            </a:solidFill>
          </a:endParaRPr>
        </a:p>
      </xdr:txBody>
    </xdr:sp>
    <xdr:clientData/>
  </xdr:twoCellAnchor>
  <xdr:twoCellAnchor>
    <xdr:from>
      <xdr:col>16</xdr:col>
      <xdr:colOff>331807</xdr:colOff>
      <xdr:row>38</xdr:row>
      <xdr:rowOff>8542</xdr:rowOff>
    </xdr:from>
    <xdr:to>
      <xdr:col>19</xdr:col>
      <xdr:colOff>473590</xdr:colOff>
      <xdr:row>42</xdr:row>
      <xdr:rowOff>30568</xdr:rowOff>
    </xdr:to>
    <xdr:sp macro="" textlink="KPI!D27">
      <xdr:nvSpPr>
        <xdr:cNvPr id="17" name="Rectangle 16">
          <a:extLst>
            <a:ext uri="{FF2B5EF4-FFF2-40B4-BE49-F238E27FC236}">
              <a16:creationId xmlns:a16="http://schemas.microsoft.com/office/drawing/2014/main" id="{36E92E15-E249-429B-8250-D73B207142D2}"/>
            </a:ext>
          </a:extLst>
        </xdr:cNvPr>
        <xdr:cNvSpPr/>
      </xdr:nvSpPr>
      <xdr:spPr>
        <a:xfrm>
          <a:off x="10101038" y="7433157"/>
          <a:ext cx="1973514" cy="803565"/>
        </a:xfrm>
        <a:prstGeom prst="rect">
          <a:avLst/>
        </a:prstGeom>
        <a:solidFill>
          <a:schemeClr val="accent6">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AA2934D-C124-44F0-B436-D9B5EB2CAF92}" type="TxLink">
            <a:rPr lang="en-US" sz="2800" b="0" i="0" u="none" strike="noStrike">
              <a:solidFill>
                <a:schemeClr val="bg1"/>
              </a:solidFill>
              <a:latin typeface="Calibri"/>
              <a:ea typeface="Calibri"/>
              <a:cs typeface="Calibri"/>
            </a:rPr>
            <a:pPr algn="ctr"/>
            <a:t> $421,499 </a:t>
          </a:fld>
          <a:endParaRPr lang="en-US" sz="2800">
            <a:solidFill>
              <a:schemeClr val="bg1"/>
            </a:solidFill>
          </a:endParaRPr>
        </a:p>
      </xdr:txBody>
    </xdr:sp>
    <xdr:clientData/>
  </xdr:twoCellAnchor>
  <xdr:twoCellAnchor>
    <xdr:from>
      <xdr:col>20</xdr:col>
      <xdr:colOff>174091</xdr:colOff>
      <xdr:row>38</xdr:row>
      <xdr:rowOff>5884</xdr:rowOff>
    </xdr:from>
    <xdr:to>
      <xdr:col>23</xdr:col>
      <xdr:colOff>315874</xdr:colOff>
      <xdr:row>42</xdr:row>
      <xdr:rowOff>27910</xdr:rowOff>
    </xdr:to>
    <xdr:sp macro="" textlink="KPI!I27">
      <xdr:nvSpPr>
        <xdr:cNvPr id="18" name="Rectangle 17">
          <a:extLst>
            <a:ext uri="{FF2B5EF4-FFF2-40B4-BE49-F238E27FC236}">
              <a16:creationId xmlns:a16="http://schemas.microsoft.com/office/drawing/2014/main" id="{875F4008-E339-4719-BBAB-D78B8279A267}"/>
            </a:ext>
          </a:extLst>
        </xdr:cNvPr>
        <xdr:cNvSpPr/>
      </xdr:nvSpPr>
      <xdr:spPr>
        <a:xfrm>
          <a:off x="12385629" y="7430499"/>
          <a:ext cx="1973514" cy="803565"/>
        </a:xfrm>
        <a:prstGeom prst="rect">
          <a:avLst/>
        </a:prstGeom>
        <a:solidFill>
          <a:schemeClr val="accent6">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F85F8EB3-D41B-48FE-8E28-D9C3C207F3D3}" type="TxLink">
            <a:rPr lang="en-US" sz="3200" b="0" i="0" u="none" strike="noStrike">
              <a:solidFill>
                <a:schemeClr val="bg1"/>
              </a:solidFill>
              <a:latin typeface="Calibri"/>
              <a:ea typeface="Calibri"/>
              <a:cs typeface="Calibri"/>
            </a:rPr>
            <a:t>31.9%</a:t>
          </a:fld>
          <a:endParaRPr lang="en-US" sz="7200">
            <a:solidFill>
              <a:schemeClr val="bg1"/>
            </a:solidFill>
          </a:endParaRPr>
        </a:p>
      </xdr:txBody>
    </xdr:sp>
    <xdr:clientData/>
  </xdr:twoCellAnchor>
  <xdr:twoCellAnchor>
    <xdr:from>
      <xdr:col>9</xdr:col>
      <xdr:colOff>218394</xdr:colOff>
      <xdr:row>41</xdr:row>
      <xdr:rowOff>138791</xdr:rowOff>
    </xdr:from>
    <xdr:to>
      <xdr:col>12</xdr:col>
      <xdr:colOff>360177</xdr:colOff>
      <xdr:row>45</xdr:row>
      <xdr:rowOff>160816</xdr:rowOff>
    </xdr:to>
    <xdr:sp macro="" textlink="KPI!G27">
      <xdr:nvSpPr>
        <xdr:cNvPr id="19" name="Rectangle 18">
          <a:extLst>
            <a:ext uri="{FF2B5EF4-FFF2-40B4-BE49-F238E27FC236}">
              <a16:creationId xmlns:a16="http://schemas.microsoft.com/office/drawing/2014/main" id="{8900324E-4BDF-4A3E-878A-77BE318CA657}"/>
            </a:ext>
          </a:extLst>
        </xdr:cNvPr>
        <xdr:cNvSpPr/>
      </xdr:nvSpPr>
      <xdr:spPr>
        <a:xfrm>
          <a:off x="5713586" y="8149560"/>
          <a:ext cx="1973514" cy="803564"/>
        </a:xfrm>
        <a:prstGeom prst="rect">
          <a:avLst/>
        </a:prstGeom>
        <a:solidFill>
          <a:schemeClr val="accent6">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2A41340A-FCDE-4988-9662-3F5ABA5D60FB}" type="TxLink">
            <a:rPr lang="en-US" sz="3200" b="0" i="0" u="none" strike="noStrike">
              <a:solidFill>
                <a:schemeClr val="bg1"/>
              </a:solidFill>
              <a:latin typeface="Calibri"/>
              <a:ea typeface="Calibri"/>
              <a:cs typeface="Calibri"/>
            </a:rPr>
            <a:t> $134,397 </a:t>
          </a:fld>
          <a:endParaRPr lang="en-US" sz="7200">
            <a:solidFill>
              <a:schemeClr val="bg1"/>
            </a:solidFill>
          </a:endParaRPr>
        </a:p>
      </xdr:txBody>
    </xdr:sp>
    <xdr:clientData/>
  </xdr:twoCellAnchor>
  <xdr:twoCellAnchor>
    <xdr:from>
      <xdr:col>13</xdr:col>
      <xdr:colOff>60677</xdr:colOff>
      <xdr:row>41</xdr:row>
      <xdr:rowOff>136133</xdr:rowOff>
    </xdr:from>
    <xdr:to>
      <xdr:col>16</xdr:col>
      <xdr:colOff>202460</xdr:colOff>
      <xdr:row>45</xdr:row>
      <xdr:rowOff>158158</xdr:rowOff>
    </xdr:to>
    <xdr:sp macro="" textlink="KPI!H27">
      <xdr:nvSpPr>
        <xdr:cNvPr id="20" name="Rectangle 19">
          <a:extLst>
            <a:ext uri="{FF2B5EF4-FFF2-40B4-BE49-F238E27FC236}">
              <a16:creationId xmlns:a16="http://schemas.microsoft.com/office/drawing/2014/main" id="{9F2C9734-5CAA-405C-8587-0E2CCB9F1B32}"/>
            </a:ext>
          </a:extLst>
        </xdr:cNvPr>
        <xdr:cNvSpPr/>
      </xdr:nvSpPr>
      <xdr:spPr>
        <a:xfrm>
          <a:off x="7998177" y="8146902"/>
          <a:ext cx="1973514" cy="803564"/>
        </a:xfrm>
        <a:prstGeom prst="rect">
          <a:avLst/>
        </a:prstGeom>
        <a:solidFill>
          <a:schemeClr val="accent6">
            <a:lumMod val="5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5DFAC7B-F3BA-4BCE-B8BA-13C27A9C0CB0}" type="TxLink">
            <a:rPr lang="en-US" sz="3200" b="0" i="0" u="none" strike="noStrike">
              <a:solidFill>
                <a:schemeClr val="bg1"/>
              </a:solidFill>
              <a:latin typeface="Calibri"/>
              <a:ea typeface="Calibri"/>
              <a:cs typeface="Calibri"/>
            </a:rPr>
            <a:t> $287,102 </a:t>
          </a:fld>
          <a:endParaRPr lang="en-US" sz="7200">
            <a:solidFill>
              <a:schemeClr val="bg1"/>
            </a:solidFill>
          </a:endParaRPr>
        </a:p>
      </xdr:txBody>
    </xdr:sp>
    <xdr:clientData/>
  </xdr:twoCellAnchor>
  <xdr:oneCellAnchor>
    <xdr:from>
      <xdr:col>17</xdr:col>
      <xdr:colOff>52985</xdr:colOff>
      <xdr:row>32</xdr:row>
      <xdr:rowOff>186612</xdr:rowOff>
    </xdr:from>
    <xdr:ext cx="1408527" cy="405432"/>
    <xdr:sp macro="" textlink="">
      <xdr:nvSpPr>
        <xdr:cNvPr id="21" name="TextBox 20">
          <a:extLst>
            <a:ext uri="{FF2B5EF4-FFF2-40B4-BE49-F238E27FC236}">
              <a16:creationId xmlns:a16="http://schemas.microsoft.com/office/drawing/2014/main" id="{5500A997-E957-400E-BB50-8F278051305A}"/>
            </a:ext>
          </a:extLst>
        </xdr:cNvPr>
        <xdr:cNvSpPr txBox="1"/>
      </xdr:nvSpPr>
      <xdr:spPr>
        <a:xfrm>
          <a:off x="10432793" y="6438920"/>
          <a:ext cx="14085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rPr>
            <a:t>Total Order</a:t>
          </a:r>
        </a:p>
      </xdr:txBody>
    </xdr:sp>
    <xdr:clientData/>
  </xdr:oneCellAnchor>
  <xdr:oneCellAnchor>
    <xdr:from>
      <xdr:col>20</xdr:col>
      <xdr:colOff>411761</xdr:colOff>
      <xdr:row>33</xdr:row>
      <xdr:rowOff>13574</xdr:rowOff>
    </xdr:from>
    <xdr:ext cx="1726114" cy="405432"/>
    <xdr:sp macro="" textlink="">
      <xdr:nvSpPr>
        <xdr:cNvPr id="22" name="TextBox 21">
          <a:extLst>
            <a:ext uri="{FF2B5EF4-FFF2-40B4-BE49-F238E27FC236}">
              <a16:creationId xmlns:a16="http://schemas.microsoft.com/office/drawing/2014/main" id="{0AF6F378-B03B-4841-91FF-E4727703C731}"/>
            </a:ext>
          </a:extLst>
        </xdr:cNvPr>
        <xdr:cNvSpPr txBox="1"/>
      </xdr:nvSpPr>
      <xdr:spPr>
        <a:xfrm>
          <a:off x="12623299" y="6461266"/>
          <a:ext cx="172611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rPr>
            <a:t>Total Quantity</a:t>
          </a:r>
        </a:p>
      </xdr:txBody>
    </xdr:sp>
    <xdr:clientData/>
  </xdr:oneCellAnchor>
  <xdr:oneCellAnchor>
    <xdr:from>
      <xdr:col>16</xdr:col>
      <xdr:colOff>453035</xdr:colOff>
      <xdr:row>37</xdr:row>
      <xdr:rowOff>173911</xdr:rowOff>
    </xdr:from>
    <xdr:ext cx="1714380" cy="405432"/>
    <xdr:sp macro="" textlink="">
      <xdr:nvSpPr>
        <xdr:cNvPr id="23" name="TextBox 22">
          <a:extLst>
            <a:ext uri="{FF2B5EF4-FFF2-40B4-BE49-F238E27FC236}">
              <a16:creationId xmlns:a16="http://schemas.microsoft.com/office/drawing/2014/main" id="{DC0DC106-845A-4A13-A8F8-66AA13C7877D}"/>
            </a:ext>
          </a:extLst>
        </xdr:cNvPr>
        <xdr:cNvSpPr txBox="1"/>
      </xdr:nvSpPr>
      <xdr:spPr>
        <a:xfrm>
          <a:off x="10222266" y="7403142"/>
          <a:ext cx="171438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rPr>
            <a:t>Total Revenue</a:t>
          </a:r>
        </a:p>
      </xdr:txBody>
    </xdr:sp>
    <xdr:clientData/>
  </xdr:oneCellAnchor>
  <xdr:oneCellAnchor>
    <xdr:from>
      <xdr:col>20</xdr:col>
      <xdr:colOff>326005</xdr:colOff>
      <xdr:row>37</xdr:row>
      <xdr:rowOff>143748</xdr:rowOff>
    </xdr:from>
    <xdr:ext cx="1605376" cy="405432"/>
    <xdr:sp macro="" textlink="">
      <xdr:nvSpPr>
        <xdr:cNvPr id="24" name="TextBox 23">
          <a:extLst>
            <a:ext uri="{FF2B5EF4-FFF2-40B4-BE49-F238E27FC236}">
              <a16:creationId xmlns:a16="http://schemas.microsoft.com/office/drawing/2014/main" id="{7529347B-747A-4AD0-8482-EE5E00405163}"/>
            </a:ext>
          </a:extLst>
        </xdr:cNvPr>
        <xdr:cNvSpPr txBox="1"/>
      </xdr:nvSpPr>
      <xdr:spPr>
        <a:xfrm>
          <a:off x="12378046" y="7336095"/>
          <a:ext cx="160537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rPr>
            <a:t>Profit</a:t>
          </a:r>
          <a:r>
            <a:rPr lang="en-US" sz="2000" b="1" baseline="0">
              <a:solidFill>
                <a:schemeClr val="bg1"/>
              </a:solidFill>
            </a:rPr>
            <a:t> Margin</a:t>
          </a:r>
          <a:endParaRPr lang="en-US" sz="2000" b="1">
            <a:solidFill>
              <a:schemeClr val="bg1"/>
            </a:solidFill>
          </a:endParaRPr>
        </a:p>
      </xdr:txBody>
    </xdr:sp>
    <xdr:clientData/>
  </xdr:oneCellAnchor>
  <xdr:oneCellAnchor>
    <xdr:from>
      <xdr:col>9</xdr:col>
      <xdr:colOff>186337</xdr:colOff>
      <xdr:row>41</xdr:row>
      <xdr:rowOff>73897</xdr:rowOff>
    </xdr:from>
    <xdr:ext cx="2039726" cy="405432"/>
    <xdr:sp macro="" textlink="">
      <xdr:nvSpPr>
        <xdr:cNvPr id="25" name="TextBox 24">
          <a:extLst>
            <a:ext uri="{FF2B5EF4-FFF2-40B4-BE49-F238E27FC236}">
              <a16:creationId xmlns:a16="http://schemas.microsoft.com/office/drawing/2014/main" id="{9892304A-BF5E-428E-B369-05ADDB576BB0}"/>
            </a:ext>
          </a:extLst>
        </xdr:cNvPr>
        <xdr:cNvSpPr txBox="1"/>
      </xdr:nvSpPr>
      <xdr:spPr>
        <a:xfrm>
          <a:off x="5681529" y="8084666"/>
          <a:ext cx="203972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1"/>
              </a:solidFill>
            </a:rPr>
            <a:t>Total Gross Profit</a:t>
          </a:r>
        </a:p>
      </xdr:txBody>
    </xdr:sp>
    <xdr:clientData/>
  </xdr:oneCellAnchor>
  <xdr:oneCellAnchor>
    <xdr:from>
      <xdr:col>13</xdr:col>
      <xdr:colOff>424467</xdr:colOff>
      <xdr:row>41</xdr:row>
      <xdr:rowOff>78244</xdr:rowOff>
    </xdr:from>
    <xdr:ext cx="1359962" cy="405432"/>
    <xdr:sp macro="" textlink="">
      <xdr:nvSpPr>
        <xdr:cNvPr id="26" name="TextBox 25">
          <a:extLst>
            <a:ext uri="{FF2B5EF4-FFF2-40B4-BE49-F238E27FC236}">
              <a16:creationId xmlns:a16="http://schemas.microsoft.com/office/drawing/2014/main" id="{0366DB7C-ADD6-4FFA-9DA9-130D008E1B85}"/>
            </a:ext>
          </a:extLst>
        </xdr:cNvPr>
        <xdr:cNvSpPr txBox="1"/>
      </xdr:nvSpPr>
      <xdr:spPr>
        <a:xfrm>
          <a:off x="8361967" y="8089013"/>
          <a:ext cx="135996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1"/>
              </a:solidFill>
            </a:rPr>
            <a:t>Total Cogs</a:t>
          </a:r>
        </a:p>
      </xdr:txBody>
    </xdr:sp>
    <xdr:clientData/>
  </xdr:oneCellAnchor>
  <xdr:twoCellAnchor editAs="oneCell">
    <xdr:from>
      <xdr:col>0</xdr:col>
      <xdr:colOff>35231</xdr:colOff>
      <xdr:row>5</xdr:row>
      <xdr:rowOff>134491</xdr:rowOff>
    </xdr:from>
    <xdr:to>
      <xdr:col>2</xdr:col>
      <xdr:colOff>144318</xdr:colOff>
      <xdr:row>10</xdr:row>
      <xdr:rowOff>113486</xdr:rowOff>
    </xdr:to>
    <mc:AlternateContent xmlns:mc="http://schemas.openxmlformats.org/markup-compatibility/2006">
      <mc:Choice xmlns:a14="http://schemas.microsoft.com/office/drawing/2010/main" Requires="a14">
        <xdr:graphicFrame macro="">
          <xdr:nvGraphicFramePr>
            <xdr:cNvPr id="27" name="Gender">
              <a:extLst>
                <a:ext uri="{FF2B5EF4-FFF2-40B4-BE49-F238E27FC236}">
                  <a16:creationId xmlns:a16="http://schemas.microsoft.com/office/drawing/2014/main" id="{46AD8C77-9AC2-4DF6-8B19-6010309423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5231" y="1106430"/>
              <a:ext cx="1314291" cy="950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84043</xdr:colOff>
      <xdr:row>11</xdr:row>
      <xdr:rowOff>112060</xdr:rowOff>
    </xdr:from>
    <xdr:to>
      <xdr:col>2</xdr:col>
      <xdr:colOff>134697</xdr:colOff>
      <xdr:row>22</xdr:row>
      <xdr:rowOff>17639</xdr:rowOff>
    </xdr:to>
    <mc:AlternateContent xmlns:mc="http://schemas.openxmlformats.org/markup-compatibility/2006">
      <mc:Choice xmlns:a14="http://schemas.microsoft.com/office/drawing/2010/main" Requires="a14">
        <xdr:graphicFrame macro="">
          <xdr:nvGraphicFramePr>
            <xdr:cNvPr id="28" name="City">
              <a:extLst>
                <a:ext uri="{FF2B5EF4-FFF2-40B4-BE49-F238E27FC236}">
                  <a16:creationId xmlns:a16="http://schemas.microsoft.com/office/drawing/2014/main" id="{57A55357-F88E-4448-842B-A269E7AA6E1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84043" y="2250325"/>
              <a:ext cx="1255858" cy="2043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70556</xdr:colOff>
      <xdr:row>23</xdr:row>
      <xdr:rowOff>70556</xdr:rowOff>
    </xdr:from>
    <xdr:to>
      <xdr:col>2</xdr:col>
      <xdr:colOff>70555</xdr:colOff>
      <xdr:row>36</xdr:row>
      <xdr:rowOff>19050</xdr:rowOff>
    </xdr:to>
    <mc:AlternateContent xmlns:mc="http://schemas.openxmlformats.org/markup-compatibility/2006">
      <mc:Choice xmlns:a14="http://schemas.microsoft.com/office/drawing/2010/main" Requires="a14">
        <xdr:graphicFrame macro="">
          <xdr:nvGraphicFramePr>
            <xdr:cNvPr id="29" name="Brand">
              <a:extLst>
                <a:ext uri="{FF2B5EF4-FFF2-40B4-BE49-F238E27FC236}">
                  <a16:creationId xmlns:a16="http://schemas.microsoft.com/office/drawing/2014/main" id="{7AE7E334-9682-42FE-89D0-ECB15077B9D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70556" y="4541474"/>
              <a:ext cx="1205203" cy="2475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20</xdr:col>
      <xdr:colOff>264579</xdr:colOff>
      <xdr:row>39</xdr:row>
      <xdr:rowOff>101761</xdr:rowOff>
    </xdr:from>
    <xdr:ext cx="184731" cy="405432"/>
    <xdr:sp macro="" textlink="">
      <xdr:nvSpPr>
        <xdr:cNvPr id="30" name="TextBox 29">
          <a:extLst>
            <a:ext uri="{FF2B5EF4-FFF2-40B4-BE49-F238E27FC236}">
              <a16:creationId xmlns:a16="http://schemas.microsoft.com/office/drawing/2014/main" id="{3147DDD0-1E0C-4C0F-A1CC-75B6723D04C3}"/>
            </a:ext>
          </a:extLst>
        </xdr:cNvPr>
        <xdr:cNvSpPr txBox="1"/>
      </xdr:nvSpPr>
      <xdr:spPr>
        <a:xfrm>
          <a:off x="12316620" y="7682883"/>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000" b="1">
            <a:solidFill>
              <a:schemeClr val="bg1"/>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511428356484" backgroundQuery="1" createdVersion="6" refreshedVersion="6" minRefreshableVersion="3" recordCount="0" supportSubquery="1" supportAdvancedDrill="1" xr:uid="{3A6A076B-B455-42CD-8F2C-96A73C61CF6A}">
  <cacheSource type="external" connectionId="1"/>
  <cacheFields count="3">
    <cacheField name="[Measures].[Sum of Total Sales]" caption="Sum of Total Sales" numFmtId="0" hierarchy="19" level="32767"/>
    <cacheField name="[Table1].[Payment Method].[Payment Method]" caption="Payment Method" numFmtId="0" hierarchy="11" level="1">
      <sharedItems count="4">
        <s v="Bank Transfer"/>
        <s v="Cash"/>
        <s v="Credit card"/>
        <s v="Ewallet"/>
      </sharedItems>
    </cacheField>
    <cacheField name="[Table1].[Brand].[Brand]" caption="Brand" numFmtId="0" hierarchy="4" level="1">
      <sharedItems containsSemiMixedTypes="0" containsNonDate="0" containsString="0"/>
    </cacheField>
  </cacheFields>
  <cacheHierarchies count="26">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1"/>
      </fieldsUsage>
    </cacheHierarchy>
    <cacheHierarchy uniqueName="[Table1].[Store Type]" caption="Store Type" attribute="1" defaultMemberUniqueName="[Table1].[Store Type].[All]" allUniqueName="[Table1].[Store Typ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511427430552" backgroundQuery="1" createdVersion="6" refreshedVersion="6" minRefreshableVersion="3" recordCount="0" supportSubquery="1" supportAdvancedDrill="1" xr:uid="{4D0AF4ED-635E-43AE-8C38-64AE84C58950}">
  <cacheSource type="external" connectionId="1"/>
  <cacheFields count="3">
    <cacheField name="[Measures].[Sum of Total Sales]" caption="Sum of Total Sales" numFmtId="0" hierarchy="19" level="32767"/>
    <cacheField name="[Table1].[Store Type].[Store Type]" caption="Store Type" numFmtId="0" hierarchy="12" level="1">
      <sharedItems count="3">
        <s v="Flagship Store"/>
        <s v="Mall Kiosk"/>
        <s v="Online"/>
      </sharedItems>
    </cacheField>
    <cacheField name="[Table1].[Brand].[Brand]" caption="Brand" numFmtId="0" hierarchy="4" level="1">
      <sharedItems containsSemiMixedTypes="0" containsNonDate="0" containsString="0"/>
    </cacheField>
  </cacheFields>
  <cacheHierarchies count="26">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tore Type]" caption="Store Type" attribute="1" defaultMemberUniqueName="[Table1].[Store Type].[All]" allUniqueName="[Table1].[Store Type].[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511430092592" backgroundQuery="1" createdVersion="6" refreshedVersion="6" minRefreshableVersion="3" recordCount="0" supportSubquery="1" supportAdvancedDrill="1" xr:uid="{445FE9A6-486A-4FF5-982E-028C2F9B0004}">
  <cacheSource type="external" connectionId="1"/>
  <cacheFields count="2">
    <cacheField name="[Measures].[Sum of Total Sales]" caption="Sum of Total Sales" numFmtId="0" hierarchy="19" level="32767"/>
    <cacheField name="[Table1].[Brand].[Brand]" caption="Brand" numFmtId="0" hierarchy="4" level="1">
      <sharedItems count="7">
        <s v="Anker"/>
        <s v="Apple"/>
        <s v="Dell"/>
        <s v="Garmin"/>
        <s v="HP"/>
        <s v="Logitech"/>
        <s v="Samsung"/>
      </sharedItems>
    </cacheField>
  </cacheFields>
  <cacheHierarchies count="26">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1"/>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tore Type]" caption="Store Type" attribute="1" defaultMemberUniqueName="[Table1].[Store Type].[All]" allUniqueName="[Table1].[Store Typ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518615740744" backgroundQuery="1" createdVersion="6" refreshedVersion="6" minRefreshableVersion="3" recordCount="0" supportSubquery="1" supportAdvancedDrill="1" xr:uid="{BBE0C441-BC3A-44C9-A170-B027BAB7E350}">
  <cacheSource type="external" connectionId="1"/>
  <cacheFields count="2">
    <cacheField name="[Measures].[Sum of Total Sales]" caption="Sum of Total Sales" numFmtId="0" hierarchy="19" level="32767"/>
    <cacheField name="[Table1].[Month].[Month]" caption="Month" numFmtId="0" hierarchy="2" level="1">
      <sharedItems count="12">
        <s v="Apr"/>
        <s v="Aug"/>
        <s v="Dec"/>
        <s v="Feb"/>
        <s v="Jan"/>
        <s v="Jul"/>
        <s v="Jun"/>
        <s v="Mar"/>
        <s v="May"/>
        <s v="Nov"/>
        <s v="Oct"/>
        <s v="Sep"/>
      </sharedItems>
    </cacheField>
  </cacheFields>
  <cacheHierarchies count="26">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tore Type]" caption="Store Type" attribute="1" defaultMemberUniqueName="[Table1].[Store Type].[All]" allUniqueName="[Table1].[Store Typ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511431944447" backgroundQuery="1" createdVersion="6" refreshedVersion="6" minRefreshableVersion="3" recordCount="0" supportSubquery="1" supportAdvancedDrill="1" xr:uid="{2BC521AD-BEBF-4587-9CF9-7EA8AB6346DD}">
  <cacheSource type="external" connectionId="1"/>
  <cacheFields count="3">
    <cacheField name="[Measures].[Sum of Total Sales]" caption="Sum of Total Sales" numFmtId="0" hierarchy="19" level="32767"/>
    <cacheField name="[Table1].[Product Category].[Product Category]" caption="Product Category" numFmtId="0" hierarchy="3" level="1">
      <sharedItems count="5">
        <s v="Accessories"/>
        <s v="Laptops"/>
        <s v="Smartphones"/>
        <s v="Tablets"/>
        <s v="Wearables"/>
      </sharedItems>
    </cacheField>
    <cacheField name="[Table1].[Brand].[Brand]" caption="Brand" numFmtId="0" hierarchy="4" level="1">
      <sharedItems containsSemiMixedTypes="0" containsNonDate="0" containsString="0"/>
    </cacheField>
  </cacheFields>
  <cacheHierarchies count="26">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tore Type]" caption="Store Type" attribute="1" defaultMemberUniqueName="[Table1].[Store Type].[All]" allUniqueName="[Table1].[Store Typ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511432870371" backgroundQuery="1" createdVersion="6" refreshedVersion="6" minRefreshableVersion="3" recordCount="0" supportSubquery="1" supportAdvancedDrill="1" xr:uid="{B3CBFAB8-AF68-4613-A28A-6709E5146FE1}">
  <cacheSource type="external" connectionId="1"/>
  <cacheFields count="3">
    <cacheField name="[Measures].[Sum of Total Sales]" caption="Sum of Total Sales" numFmtId="0" hierarchy="19" level="32767"/>
    <cacheField name="[Table1].[Gender].[Gender]" caption="Gender" numFmtId="0" hierarchy="15" level="1">
      <sharedItems count="2">
        <s v="Female"/>
        <s v="Male"/>
      </sharedItems>
    </cacheField>
    <cacheField name="[Table1].[Brand].[Brand]" caption="Brand" numFmtId="0" hierarchy="4" level="1">
      <sharedItems containsSemiMixedTypes="0" containsNonDate="0" containsString="0"/>
    </cacheField>
  </cacheFields>
  <cacheHierarchies count="26">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tore Type]" caption="Store Type" attribute="1" defaultMemberUniqueName="[Table1].[Store Type].[All]" allUniqueName="[Table1].[Store Typ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511431018516" backgroundQuery="1" createdVersion="6" refreshedVersion="6" minRefreshableVersion="3" recordCount="0" supportSubquery="1" supportAdvancedDrill="1" xr:uid="{522C44CF-991C-4214-926A-8D1A65CFBE6B}">
  <cacheSource type="external" connectionId="1"/>
  <cacheFields count="3">
    <cacheField name="[Measures].[Sum of Total Sales]" caption="Sum of Total Sales" numFmtId="0" hierarchy="19" level="32767"/>
    <cacheField name="[Table1].[City].[City]" caption="City" numFmtId="0" hierarchy="13" level="1">
      <sharedItems count="6">
        <s v="Berlin"/>
        <s v="Dubai"/>
        <s v="London"/>
        <s v="New York"/>
        <s v="Singapore"/>
        <s v="Toronto"/>
      </sharedItems>
    </cacheField>
    <cacheField name="[Table1].[Brand].[Brand]" caption="Brand" numFmtId="0" hierarchy="4" level="1">
      <sharedItems containsSemiMixedTypes="0" containsNonDate="0" containsString="0"/>
    </cacheField>
  </cacheFields>
  <cacheHierarchies count="26">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tore Type]" caption="Store Type" attribute="1" defaultMemberUniqueName="[Table1].[Store Type].[All]" allUniqueName="[Table1].[Store Typ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569364930554" backgroundQuery="1" createdVersion="6" refreshedVersion="6" minRefreshableVersion="3" recordCount="0" supportSubquery="1" supportAdvancedDrill="1" xr:uid="{88312E7B-F7B5-480D-9FC0-C9FFA3A178F1}">
  <cacheSource type="external" connectionId="1"/>
  <cacheFields count="5">
    <cacheField name="[Measures].[Sum of Total Sales]" caption="Sum of Total Sales" numFmtId="0" hierarchy="19" level="32767"/>
    <cacheField name="[Measures].[Count of Invoice ID]" caption="Count of Invoice ID" numFmtId="0" hierarchy="20" level="32767"/>
    <cacheField name="[Measures].[Sum of Quantity]" caption="Sum of Quantity" numFmtId="0" hierarchy="21" level="32767"/>
    <cacheField name="[Measures].[Sum of Gross Profit]" caption="Sum of Gross Profit" numFmtId="0" hierarchy="23" level="32767"/>
    <cacheField name="[Measures].[Sum of COGS]" caption="Sum of COGS" numFmtId="0" hierarchy="24" level="32767"/>
  </cacheFields>
  <cacheHierarchies count="26">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tore Type]" caption="Store Type" attribute="1" defaultMemberUniqueName="[Table1].[Store Type].[All]" allUniqueName="[Table1].[Store Typ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oneField="1" hidden="1">
      <fieldsUsage count="1">
        <fieldUsage x="4"/>
      </fieldsUsage>
      <extLst>
        <ext xmlns:x15="http://schemas.microsoft.com/office/spreadsheetml/2010/11/main" uri="{B97F6D7D-B522-45F9-BDA1-12C45D357490}">
          <x15:cacheHierarchy aggregatedColumn="9"/>
        </ext>
      </extLst>
    </cacheHierarchy>
    <cacheHierarchy uniqueName="[Measures].[Average of Unit Price]" caption="Average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498801388887" backgroundQuery="1" createdVersion="3" refreshedVersion="6" minRefreshableVersion="3" recordCount="0" supportSubquery="1" supportAdvancedDrill="1" xr:uid="{3BD3E760-6E26-48DC-9035-EE3E37F46B3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tore Type]" caption="Store Type" attribute="1" defaultMemberUniqueName="[Table1].[Store Type].[All]" allUniqueName="[Table1].[Store Typ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059192793"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4.483898032406" backgroundQuery="1" createdVersion="3" refreshedVersion="6" minRefreshableVersion="3" recordCount="0" supportSubquery="1" supportAdvancedDrill="1" xr:uid="{8D097F7C-297B-4D7A-A910-8272BE4C394C}">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1].[Invoice ID]" caption="Invoice ID" attribute="1" defaultMemberUniqueName="[Table1].[Invoice ID].[All]" allUniqueName="[Table1].[Invoice 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cacheHierarchy uniqueName="[Table1].[Month]" caption="Month" attribute="1" defaultMemberUniqueName="[Table1].[Month].[All]" allUniqueName="[Table1].[Month].[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Gross Profit]" caption="Gross Profit" attribute="1" defaultMemberUniqueName="[Table1].[Gross Profit].[All]" allUniqueName="[Table1].[Gross 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Store Type]" caption="Store Type" attribute="1" defaultMemberUniqueName="[Table1].[Store Type].[All]" allUniqueName="[Table1].[Store Typ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ustomer Age]" caption="Customer Age" attribute="1" defaultMemberUniqueName="[Table1].[Customer Age].[All]" allUniqueName="[Table1].[Customer 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8"/>
        </ext>
      </extLst>
    </cacheHierarchy>
    <cacheHierarchy uniqueName="[Measures].[Count of Invoice ID]" caption="Count of Invoice ID" measure="1" displayFolder="" measureGroup="Table1"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y uniqueName="[Measures].[Sum of Gross Profit]" caption="Sum of Gross Profit" measure="1" displayFolder="" measureGroup="Table1"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19273051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1332E2-3DE1-4649-90FD-9A1C0207C95D}" name="PivotTable8" cacheId="64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location ref="D26:H2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Total Sales" fld="0" baseField="0" baseItem="0" numFmtId="166"/>
    <dataField name="Count of Invoice ID" fld="1" subtotal="count" baseField="0" baseItem="0"/>
    <dataField name="Sum of Quantity" fld="2" baseField="0" baseItem="0"/>
    <dataField name="Sum of Gross Profit" fld="3" baseField="0" baseItem="0" numFmtId="166"/>
    <dataField name="Sum of COGS" fld="4" baseField="0" baseItem="0" numFmtId="166"/>
  </dataFields>
  <formats count="3">
    <format dxfId="0">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3"/>
          </reference>
        </references>
      </pivotArea>
    </format>
    <format dxfId="2">
      <pivotArea outline="0" collapsedLevelsAreSubtotals="1" fieldPosition="0">
        <references count="1">
          <reference field="4294967294" count="1" selected="0">
            <x v="4"/>
          </reference>
        </references>
      </pivotArea>
    </format>
  </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Profit Margi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2110B-9452-4692-A9D6-4DC766CE8949}" name="PivotTable7" cacheId="619"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28:B3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Sales" fld="0" baseField="0" baseItem="0"/>
  </dataFields>
  <formats count="1">
    <format dxfId="4">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ED9A01-AEB2-4327-8954-C5641D206E0C}" name="PivotTable6" cacheId="6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G11:H1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Sales" fld="0" baseField="0" baseItem="0"/>
  </dataFields>
  <formats count="1">
    <format dxfId="7">
      <pivotArea collapsedLevelsAreSubtotals="1" fieldPosition="0">
        <references count="1">
          <reference field="1" count="0"/>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1FAF2D-D61C-4EBA-A139-9301969ED3D6}" name="PivotTable5" cacheId="62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D11:E1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Total Sales" fld="0" baseField="0" baseItem="0"/>
  </dataFields>
  <formats count="1">
    <format dxfId="6">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8216D9-D34F-4B3F-B761-8658BECC191E}" name="PivotTable4" cacheId="622"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4">
  <location ref="A11:B2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 Sales" fld="0" baseField="0" baseItem="0"/>
  </dataFields>
  <formats count="1">
    <format dxfId="3">
      <pivotArea collapsedLevelsAreSubtotals="1" fieldPosition="0">
        <references count="1">
          <reference field="1" count="0"/>
        </references>
      </pivotArea>
    </format>
  </formats>
  <chartFormats count="7">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5"/>
          </reference>
        </references>
      </pivotArea>
    </chartFormat>
    <chartFormat chart="3" format="4">
      <pivotArea type="data" outline="0" fieldPosition="0">
        <references count="2">
          <reference field="4294967294" count="1" selected="0">
            <x v="0"/>
          </reference>
          <reference field="1" count="1" selected="0">
            <x v="6"/>
          </reference>
        </references>
      </pivotArea>
    </chartFormat>
    <chartFormat chart="3" format="5">
      <pivotArea type="data" outline="0" fieldPosition="0">
        <references count="2">
          <reference field="4294967294" count="1" selected="0">
            <x v="0"/>
          </reference>
          <reference field="1" count="1" selected="0">
            <x v="9"/>
          </reference>
        </references>
      </pivotArea>
    </chartFormat>
    <chartFormat chart="3" format="6">
      <pivotArea type="data" outline="0" fieldPosition="0">
        <references count="2">
          <reference field="4294967294" count="1" selected="0">
            <x v="0"/>
          </reference>
          <reference field="1" count="1" selected="0">
            <x v="10"/>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43CFD5-7F5C-48A0-AA3A-8D5A6002F09A}" name="PivotTable3" cacheId="623" applyNumberFormats="0" applyBorderFormats="0" applyFontFormats="0" applyPatternFormats="0" applyAlignmentFormats="0" applyWidthHeightFormats="1" dataCaption="Values" updatedVersion="6" minRefreshableVersion="5" useAutoFormatting="1" subtotalHiddenItems="1" itemPrintTitles="1" createdVersion="6" indent="0" outline="1" outlineData="1" multipleFieldFilters="0" chartFormat="3">
  <location ref="G1:H7"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2"/>
    </i>
    <i>
      <x v="4"/>
    </i>
    <i>
      <x v="3"/>
    </i>
    <i>
      <x/>
    </i>
    <i t="grand">
      <x/>
    </i>
  </rowItems>
  <colItems count="1">
    <i/>
  </colItems>
  <dataFields count="1">
    <dataField name="Sum of Total Sales" fld="0" baseField="0" baseItem="0"/>
  </dataFields>
  <formats count="1">
    <format dxfId="8">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A3DBCD-CF58-4B85-947B-0EB4C0376F44}" name="PivotTable2" cacheId="6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D1:E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 Sales" fld="0" baseField="0" baseItem="0"/>
  </dataFields>
  <formats count="1">
    <format dxfId="9">
      <pivotArea collapsedLevelsAreSubtotals="1" fieldPosition="0">
        <references count="1">
          <reference field="1" count="0"/>
        </references>
      </pivotArea>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E33BC6-B4AD-4912-9E65-27082D677DA3}" name="PivotTable1" cacheId="62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Total Sales" fld="0" baseField="0" baseItem="0"/>
  </dataFields>
  <formats count="1">
    <format dxfId="5">
      <pivotArea collapsedLevelsAreSubtotals="1" fieldPosition="0">
        <references count="1">
          <reference field="1" count="0"/>
        </references>
      </pivotArea>
    </format>
  </formats>
  <chartFormats count="1">
    <chartFormat chart="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ch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AA471E-5F02-4BE4-8796-0FB298E18020}" sourceName="[Table1].[Gender]">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olap pivotCacheId="1059192793">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D9B2E96-5A86-43E3-9B8E-E1F9301E58D0}" sourceName="[Table1].[City]">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olap pivotCacheId="1059192793">
      <levels count="2">
        <level uniqueName="[Table1].[City].[(All)]" sourceCaption="(All)" count="0"/>
        <level uniqueName="[Table1].[City].[City]" sourceCaption="City" count="6">
          <ranges>
            <range startItem="0">
              <i n="[Table1].[City].&amp;[Berlin]" c="Berlin"/>
              <i n="[Table1].[City].&amp;[Dubai]" c="Dubai"/>
              <i n="[Table1].[City].&amp;[London]" c="London"/>
              <i n="[Table1].[City].&amp;[New York]" c="New York"/>
              <i n="[Table1].[City].&amp;[Singapore]" c="Singapore"/>
              <i n="[Table1].[City].&amp;[Toronto]" c="Toronto"/>
            </range>
          </ranges>
        </level>
      </levels>
      <selections count="1">
        <selection n="[Table1].[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43D546B9-3A0B-437D-8DE6-0EF94194A251}" sourceName="[Table1].[Brand]">
  <pivotTables>
    <pivotTable tabId="2" name="PivotTable5"/>
    <pivotTable tabId="2" name="PivotTable1"/>
    <pivotTable tabId="2" name="PivotTable3"/>
    <pivotTable tabId="2" name="PivotTable2"/>
    <pivotTable tabId="2" name="PivotTable4"/>
    <pivotTable tabId="2" name="PivotTable6"/>
    <pivotTable tabId="2" name="PivotTable7"/>
    <pivotTable tabId="2" name="PivotTable8"/>
  </pivotTables>
  <data>
    <olap pivotCacheId="1059192793">
      <levels count="2">
        <level uniqueName="[Table1].[Brand].[(All)]" sourceCaption="(All)" count="0"/>
        <level uniqueName="[Table1].[Brand].[Brand]" sourceCaption="Brand" count="7">
          <ranges>
            <range startItem="0">
              <i n="[Table1].[Brand].&amp;[Anker]" c="Anker"/>
              <i n="[Table1].[Brand].&amp;[Apple]" c="Apple"/>
              <i n="[Table1].[Brand].&amp;[Dell]" c="Dell"/>
              <i n="[Table1].[Brand].&amp;[Garmin]" c="Garmin"/>
              <i n="[Table1].[Brand].&amp;[HP]" c="HP"/>
              <i n="[Table1].[Brand].&amp;[Logitech]" c="Logitech"/>
              <i n="[Table1].[Brand].&amp;[Samsung]" c="Samsung"/>
            </range>
          </ranges>
        </level>
      </levels>
      <selections count="1">
        <selection n="[Table1].[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E88E14C-540E-41E0-8C64-A57261ECF9F6}" cache="Slicer_Gender" caption="Gender" level="1" style="SlicerStyleDark6" rowHeight="241300"/>
  <slicer name="City" xr10:uid="{44C2B4C0-7E4F-4D86-A2DC-49F732237584}" cache="Slicer_City" caption="City" level="1" style="SlicerStyleDark6" rowHeight="241300"/>
  <slicer name="Brand" xr10:uid="{8E8B3C20-19B2-45ED-9509-2BB707860146}" cache="Slicer_Brand" caption="Brand" level="1"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6056A-DCA4-42E1-A6DA-0A71947731BB}" name="Table1" displayName="Table1" ref="A1:Q201" totalsRowShown="0">
  <autoFilter ref="A1:Q201" xr:uid="{723B9689-1994-49EC-9F86-15524192AE7D}"/>
  <tableColumns count="17">
    <tableColumn id="1" xr3:uid="{962F6EFE-72DB-44C4-BC7D-E0D354CEAE03}" name="Invoice ID"/>
    <tableColumn id="2" xr3:uid="{01CE778B-79FC-45F3-A18B-CB8C959AB7BC}" name="Date" dataDxfId="11"/>
    <tableColumn id="3" xr3:uid="{4BBEB7B9-8528-4229-80BF-1CE0446C329E}" name="Month" dataDxfId="10">
      <calculatedColumnFormula>TEXT(B2,"mmm")</calculatedColumnFormula>
    </tableColumn>
    <tableColumn id="4" xr3:uid="{39F5BCF1-4160-4DC9-AF9C-8D832F6FF9A1}" name="Product Category"/>
    <tableColumn id="5" xr3:uid="{731491F1-3FF2-4D11-B33D-FFCE007206F6}" name="Brand"/>
    <tableColumn id="6" xr3:uid="{F7CE27A7-75DA-42B6-A3C6-BE4FFC7BE2DE}" name="Product Name"/>
    <tableColumn id="7" xr3:uid="{B8915B37-6FF0-46B1-B476-E8065D5BEBAE}" name="Unit Price" dataCellStyle="Currency"/>
    <tableColumn id="8" xr3:uid="{19092CDC-4FD6-4CDD-A68C-5061D41AAF86}" name="Quantity"/>
    <tableColumn id="9" xr3:uid="{35357976-5544-4AA8-A1F1-0802BF6CCAE6}" name="Total Sales" dataCellStyle="Currency"/>
    <tableColumn id="10" xr3:uid="{CBDBCB33-0A14-42A9-AAB8-6AFBD68C03F5}" name="COGS" dataCellStyle="Currency"/>
    <tableColumn id="11" xr3:uid="{91F6D577-D04C-43C4-AA18-076EF4677C92}" name="Gross Profit" dataCellStyle="Currency"/>
    <tableColumn id="12" xr3:uid="{13BD829B-3461-4247-BE24-BED59FE28330}" name="Payment Method"/>
    <tableColumn id="13" xr3:uid="{D2420BE2-CFC7-4E4A-BCB5-2B5128590691}" name="Store Type"/>
    <tableColumn id="14" xr3:uid="{9252E3F8-494C-4F2E-B7DA-00B03CAFFE3A}" name="City"/>
    <tableColumn id="15" xr3:uid="{ED65A730-D361-4BDD-8B79-89BE32D40E7C}" name="Customer Age"/>
    <tableColumn id="16" xr3:uid="{70D4DA48-AA08-4DB6-893B-A1624AAE83E0}" name="Gender"/>
    <tableColumn id="17" xr3:uid="{24E4ED00-0CE3-4F31-951A-EF98EE9DA2F5}"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1E12B72-4A73-4D1F-9016-A6FE73CBF077}" sourceName="[Table1].[Dat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state minimalRefreshVersion="6" lastRefreshVersion="6" pivotCacheId="192730513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43E540B-5918-4796-BA28-5047816ABEA7}" cache="Timeline_Date" caption="Date" level="0" selectionLevel="0" scrollPosition="2024-01-01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1"/>
  <sheetViews>
    <sheetView workbookViewId="0">
      <pane ySplit="1" topLeftCell="A2" activePane="bottomLeft" state="frozen"/>
      <selection pane="bottomLeft" activeCell="E18" sqref="E18"/>
    </sheetView>
  </sheetViews>
  <sheetFormatPr defaultRowHeight="15" x14ac:dyDescent="0.25"/>
  <cols>
    <col min="1" max="1" width="11.85546875" customWidth="1"/>
    <col min="2" max="2" width="10.7109375" bestFit="1" customWidth="1"/>
    <col min="3" max="3" width="10.7109375" customWidth="1"/>
    <col min="4" max="4" width="18.28515625" customWidth="1"/>
    <col min="6" max="6" width="21.42578125" bestFit="1" customWidth="1"/>
    <col min="7" max="7" width="11.85546875" style="8" customWidth="1"/>
    <col min="8" max="8" width="10.85546875" customWidth="1"/>
    <col min="9" max="9" width="12.5703125" style="8" customWidth="1"/>
    <col min="10" max="10" width="10.5703125" style="8" bestFit="1" customWidth="1"/>
    <col min="11" max="11" width="13.5703125" style="8" customWidth="1"/>
    <col min="12" max="12" width="18.5703125" customWidth="1"/>
    <col min="13" max="13" width="13.5703125" bestFit="1" customWidth="1"/>
    <col min="15" max="15" width="15.5703125" customWidth="1"/>
    <col min="16" max="16" width="9.85546875" customWidth="1"/>
  </cols>
  <sheetData>
    <row r="1" spans="1:17" x14ac:dyDescent="0.25">
      <c r="A1" t="s">
        <v>0</v>
      </c>
      <c r="B1" t="s">
        <v>1</v>
      </c>
      <c r="C1" t="s">
        <v>254</v>
      </c>
      <c r="D1" t="s">
        <v>2</v>
      </c>
      <c r="E1" t="s">
        <v>3</v>
      </c>
      <c r="F1" t="s">
        <v>4</v>
      </c>
      <c r="G1" s="8" t="s">
        <v>5</v>
      </c>
      <c r="H1" t="s">
        <v>6</v>
      </c>
      <c r="I1" s="8" t="s">
        <v>7</v>
      </c>
      <c r="J1" s="8" t="s">
        <v>8</v>
      </c>
      <c r="K1" s="8" t="s">
        <v>9</v>
      </c>
      <c r="L1" t="s">
        <v>10</v>
      </c>
      <c r="M1" t="s">
        <v>11</v>
      </c>
      <c r="N1" t="s">
        <v>12</v>
      </c>
      <c r="O1" t="s">
        <v>13</v>
      </c>
      <c r="P1" t="s">
        <v>14</v>
      </c>
      <c r="Q1" t="s">
        <v>15</v>
      </c>
    </row>
    <row r="2" spans="1:17" x14ac:dyDescent="0.25">
      <c r="A2" t="s">
        <v>16</v>
      </c>
      <c r="B2" s="1">
        <v>45663</v>
      </c>
      <c r="C2" s="1" t="str">
        <f>TEXT(B2,"mmm")</f>
        <v>Jan</v>
      </c>
      <c r="D2" t="s">
        <v>17</v>
      </c>
      <c r="E2" t="s">
        <v>18</v>
      </c>
      <c r="F2" t="s">
        <v>19</v>
      </c>
      <c r="G2" s="8">
        <v>362.07</v>
      </c>
      <c r="H2">
        <v>1</v>
      </c>
      <c r="I2" s="8">
        <v>362.07</v>
      </c>
      <c r="J2" s="8">
        <v>232.68</v>
      </c>
      <c r="K2" s="8">
        <v>129.38999999999999</v>
      </c>
      <c r="L2" t="s">
        <v>20</v>
      </c>
      <c r="M2" t="s">
        <v>21</v>
      </c>
      <c r="N2" t="s">
        <v>22</v>
      </c>
      <c r="O2">
        <v>57</v>
      </c>
      <c r="P2" t="s">
        <v>23</v>
      </c>
      <c r="Q2">
        <v>10</v>
      </c>
    </row>
    <row r="3" spans="1:17" x14ac:dyDescent="0.25">
      <c r="A3" t="s">
        <v>24</v>
      </c>
      <c r="B3" s="1">
        <v>45670</v>
      </c>
      <c r="C3" s="1" t="str">
        <f t="shared" ref="C3:C66" si="0">TEXT(B3,"mmm")</f>
        <v>Jan</v>
      </c>
      <c r="D3" t="s">
        <v>25</v>
      </c>
      <c r="E3" t="s">
        <v>26</v>
      </c>
      <c r="F3" t="s">
        <v>27</v>
      </c>
      <c r="G3" s="8">
        <v>75.48</v>
      </c>
      <c r="H3">
        <v>5</v>
      </c>
      <c r="I3" s="8">
        <v>377.4</v>
      </c>
      <c r="J3" s="8">
        <v>298.8</v>
      </c>
      <c r="K3" s="8">
        <v>78.599999999999994</v>
      </c>
      <c r="L3" t="s">
        <v>20</v>
      </c>
      <c r="M3" t="s">
        <v>28</v>
      </c>
      <c r="N3" t="s">
        <v>29</v>
      </c>
      <c r="O3">
        <v>49</v>
      </c>
      <c r="P3" t="s">
        <v>23</v>
      </c>
      <c r="Q3">
        <v>8</v>
      </c>
    </row>
    <row r="4" spans="1:17" x14ac:dyDescent="0.25">
      <c r="A4" t="s">
        <v>30</v>
      </c>
      <c r="B4" s="1">
        <v>45771</v>
      </c>
      <c r="C4" s="1" t="str">
        <f t="shared" si="0"/>
        <v>Apr</v>
      </c>
      <c r="D4" t="s">
        <v>31</v>
      </c>
      <c r="E4" t="s">
        <v>32</v>
      </c>
      <c r="F4" t="s">
        <v>33</v>
      </c>
      <c r="G4" s="8">
        <v>1491.92</v>
      </c>
      <c r="H4">
        <v>4</v>
      </c>
      <c r="I4" s="8">
        <v>5967.68</v>
      </c>
      <c r="J4" s="8">
        <v>3787.71</v>
      </c>
      <c r="K4" s="8">
        <v>2179.9699999999998</v>
      </c>
      <c r="L4" t="s">
        <v>34</v>
      </c>
      <c r="M4" t="s">
        <v>35</v>
      </c>
      <c r="N4" t="s">
        <v>36</v>
      </c>
      <c r="O4">
        <v>29</v>
      </c>
      <c r="P4" t="s">
        <v>23</v>
      </c>
      <c r="Q4">
        <v>6</v>
      </c>
    </row>
    <row r="5" spans="1:17" x14ac:dyDescent="0.25">
      <c r="A5" t="s">
        <v>37</v>
      </c>
      <c r="B5" s="1">
        <v>45676</v>
      </c>
      <c r="C5" s="1" t="str">
        <f t="shared" si="0"/>
        <v>Jan</v>
      </c>
      <c r="D5" t="s">
        <v>31</v>
      </c>
      <c r="E5" t="s">
        <v>32</v>
      </c>
      <c r="F5" t="s">
        <v>33</v>
      </c>
      <c r="G5" s="8">
        <v>1497.03</v>
      </c>
      <c r="H5">
        <v>2</v>
      </c>
      <c r="I5" s="8">
        <v>2994.06</v>
      </c>
      <c r="J5" s="8">
        <v>1981.84</v>
      </c>
      <c r="K5" s="8">
        <v>1012.22</v>
      </c>
      <c r="L5" t="s">
        <v>38</v>
      </c>
      <c r="M5" t="s">
        <v>21</v>
      </c>
      <c r="N5" t="s">
        <v>36</v>
      </c>
      <c r="O5">
        <v>27</v>
      </c>
      <c r="P5" t="s">
        <v>39</v>
      </c>
      <c r="Q5">
        <v>6</v>
      </c>
    </row>
    <row r="6" spans="1:17" x14ac:dyDescent="0.25">
      <c r="A6" t="s">
        <v>40</v>
      </c>
      <c r="B6" s="1">
        <v>45465</v>
      </c>
      <c r="C6" s="1" t="str">
        <f t="shared" si="0"/>
        <v>Jun</v>
      </c>
      <c r="D6" t="s">
        <v>41</v>
      </c>
      <c r="E6" t="s">
        <v>18</v>
      </c>
      <c r="F6" t="s">
        <v>42</v>
      </c>
      <c r="G6" s="8">
        <v>776.61</v>
      </c>
      <c r="H6">
        <v>4</v>
      </c>
      <c r="I6" s="8">
        <v>3106.44</v>
      </c>
      <c r="J6" s="8">
        <v>2387.7800000000002</v>
      </c>
      <c r="K6" s="8">
        <v>718.66</v>
      </c>
      <c r="L6" t="s">
        <v>38</v>
      </c>
      <c r="M6" t="s">
        <v>28</v>
      </c>
      <c r="N6" t="s">
        <v>43</v>
      </c>
      <c r="O6">
        <v>48</v>
      </c>
      <c r="P6" t="s">
        <v>39</v>
      </c>
      <c r="Q6">
        <v>4</v>
      </c>
    </row>
    <row r="7" spans="1:17" x14ac:dyDescent="0.25">
      <c r="A7" t="s">
        <v>44</v>
      </c>
      <c r="B7" s="1">
        <v>45618</v>
      </c>
      <c r="C7" s="1" t="str">
        <f t="shared" si="0"/>
        <v>Nov</v>
      </c>
      <c r="D7" t="s">
        <v>45</v>
      </c>
      <c r="E7" t="s">
        <v>46</v>
      </c>
      <c r="F7" t="s">
        <v>47</v>
      </c>
      <c r="G7" s="8">
        <v>413.69</v>
      </c>
      <c r="H7">
        <v>4</v>
      </c>
      <c r="I7" s="8">
        <v>1654.76</v>
      </c>
      <c r="J7" s="8">
        <v>1282.6199999999999</v>
      </c>
      <c r="K7" s="8">
        <v>372.14</v>
      </c>
      <c r="L7" t="s">
        <v>34</v>
      </c>
      <c r="M7" t="s">
        <v>35</v>
      </c>
      <c r="N7" t="s">
        <v>48</v>
      </c>
      <c r="O7">
        <v>52</v>
      </c>
      <c r="P7" t="s">
        <v>39</v>
      </c>
      <c r="Q7">
        <v>4</v>
      </c>
    </row>
    <row r="8" spans="1:17" x14ac:dyDescent="0.25">
      <c r="A8" t="s">
        <v>49</v>
      </c>
      <c r="B8" s="1">
        <v>45698</v>
      </c>
      <c r="C8" s="1" t="str">
        <f t="shared" si="0"/>
        <v>Feb</v>
      </c>
      <c r="D8" t="s">
        <v>31</v>
      </c>
      <c r="E8" t="s">
        <v>50</v>
      </c>
      <c r="F8" t="s">
        <v>51</v>
      </c>
      <c r="G8" s="8">
        <v>1483.48</v>
      </c>
      <c r="H8">
        <v>1</v>
      </c>
      <c r="I8" s="8">
        <v>1483.48</v>
      </c>
      <c r="J8" s="8">
        <v>998.79</v>
      </c>
      <c r="K8" s="8">
        <v>484.69</v>
      </c>
      <c r="L8" t="s">
        <v>52</v>
      </c>
      <c r="M8" t="s">
        <v>21</v>
      </c>
      <c r="N8" t="s">
        <v>43</v>
      </c>
      <c r="O8">
        <v>27</v>
      </c>
      <c r="P8" t="s">
        <v>39</v>
      </c>
      <c r="Q8">
        <v>8</v>
      </c>
    </row>
    <row r="9" spans="1:17" x14ac:dyDescent="0.25">
      <c r="A9" t="s">
        <v>53</v>
      </c>
      <c r="B9" s="1">
        <v>45652</v>
      </c>
      <c r="C9" s="1" t="str">
        <f t="shared" si="0"/>
        <v>Dec</v>
      </c>
      <c r="D9" t="s">
        <v>17</v>
      </c>
      <c r="E9" t="s">
        <v>54</v>
      </c>
      <c r="F9" t="s">
        <v>55</v>
      </c>
      <c r="G9" s="8">
        <v>463.02</v>
      </c>
      <c r="H9">
        <v>3</v>
      </c>
      <c r="I9" s="8">
        <v>1389.06</v>
      </c>
      <c r="J9" s="8">
        <v>935.82</v>
      </c>
      <c r="K9" s="8">
        <v>453.24</v>
      </c>
      <c r="L9" t="s">
        <v>38</v>
      </c>
      <c r="M9" t="s">
        <v>21</v>
      </c>
      <c r="N9" t="s">
        <v>36</v>
      </c>
      <c r="O9">
        <v>51</v>
      </c>
      <c r="P9" t="s">
        <v>23</v>
      </c>
      <c r="Q9">
        <v>6</v>
      </c>
    </row>
    <row r="10" spans="1:17" x14ac:dyDescent="0.25">
      <c r="A10" t="s">
        <v>56</v>
      </c>
      <c r="B10" s="1">
        <v>45293</v>
      </c>
      <c r="C10" s="1" t="str">
        <f t="shared" si="0"/>
        <v>Jan</v>
      </c>
      <c r="D10" t="s">
        <v>17</v>
      </c>
      <c r="E10" t="s">
        <v>18</v>
      </c>
      <c r="F10" t="s">
        <v>19</v>
      </c>
      <c r="G10" s="8">
        <v>394.19</v>
      </c>
      <c r="H10">
        <v>4</v>
      </c>
      <c r="I10" s="8">
        <v>1576.76</v>
      </c>
      <c r="J10" s="8">
        <v>1071.95</v>
      </c>
      <c r="K10" s="8">
        <v>504.81</v>
      </c>
      <c r="L10" t="s">
        <v>38</v>
      </c>
      <c r="M10" t="s">
        <v>35</v>
      </c>
      <c r="N10" t="s">
        <v>22</v>
      </c>
      <c r="O10">
        <v>42</v>
      </c>
      <c r="P10" t="s">
        <v>39</v>
      </c>
      <c r="Q10">
        <v>1</v>
      </c>
    </row>
    <row r="11" spans="1:17" x14ac:dyDescent="0.25">
      <c r="A11" t="s">
        <v>57</v>
      </c>
      <c r="B11" s="1">
        <v>45866</v>
      </c>
      <c r="C11" s="1" t="str">
        <f t="shared" si="0"/>
        <v>Jul</v>
      </c>
      <c r="D11" t="s">
        <v>31</v>
      </c>
      <c r="E11" t="s">
        <v>18</v>
      </c>
      <c r="F11" t="s">
        <v>58</v>
      </c>
      <c r="G11" s="8">
        <v>1479.94</v>
      </c>
      <c r="H11">
        <v>3</v>
      </c>
      <c r="I11" s="8">
        <v>4439.82</v>
      </c>
      <c r="J11" s="8">
        <v>2839.52</v>
      </c>
      <c r="K11" s="8">
        <v>1600.3</v>
      </c>
      <c r="L11" t="s">
        <v>20</v>
      </c>
      <c r="M11" t="s">
        <v>28</v>
      </c>
      <c r="N11" t="s">
        <v>22</v>
      </c>
      <c r="O11">
        <v>33</v>
      </c>
      <c r="P11" t="s">
        <v>39</v>
      </c>
      <c r="Q11">
        <v>6</v>
      </c>
    </row>
    <row r="12" spans="1:17" x14ac:dyDescent="0.25">
      <c r="A12" t="s">
        <v>59</v>
      </c>
      <c r="B12" s="1">
        <v>45741</v>
      </c>
      <c r="C12" s="1" t="str">
        <f t="shared" si="0"/>
        <v>Mar</v>
      </c>
      <c r="D12" t="s">
        <v>25</v>
      </c>
      <c r="E12" t="s">
        <v>26</v>
      </c>
      <c r="F12" t="s">
        <v>27</v>
      </c>
      <c r="G12" s="8">
        <v>55.66</v>
      </c>
      <c r="H12">
        <v>1</v>
      </c>
      <c r="I12" s="8">
        <v>55.66</v>
      </c>
      <c r="J12" s="8">
        <v>42.98</v>
      </c>
      <c r="K12" s="8">
        <v>12.68</v>
      </c>
      <c r="L12" t="s">
        <v>38</v>
      </c>
      <c r="M12" t="s">
        <v>21</v>
      </c>
      <c r="N12" t="s">
        <v>29</v>
      </c>
      <c r="O12">
        <v>26</v>
      </c>
      <c r="P12" t="s">
        <v>39</v>
      </c>
      <c r="Q12">
        <v>10</v>
      </c>
    </row>
    <row r="13" spans="1:17" x14ac:dyDescent="0.25">
      <c r="A13" t="s">
        <v>60</v>
      </c>
      <c r="B13" s="1">
        <v>45464</v>
      </c>
      <c r="C13" s="1" t="str">
        <f t="shared" si="0"/>
        <v>Jun</v>
      </c>
      <c r="D13" t="s">
        <v>41</v>
      </c>
      <c r="E13" t="s">
        <v>18</v>
      </c>
      <c r="F13" t="s">
        <v>42</v>
      </c>
      <c r="G13" s="8">
        <v>809.1</v>
      </c>
      <c r="H13">
        <v>1</v>
      </c>
      <c r="I13" s="8">
        <v>809.1</v>
      </c>
      <c r="J13" s="8">
        <v>580.9</v>
      </c>
      <c r="K13" s="8">
        <v>228.2</v>
      </c>
      <c r="L13" t="s">
        <v>34</v>
      </c>
      <c r="M13" t="s">
        <v>21</v>
      </c>
      <c r="N13" t="s">
        <v>36</v>
      </c>
      <c r="O13">
        <v>22</v>
      </c>
      <c r="P13" t="s">
        <v>39</v>
      </c>
      <c r="Q13">
        <v>1</v>
      </c>
    </row>
    <row r="14" spans="1:17" x14ac:dyDescent="0.25">
      <c r="A14" t="s">
        <v>61</v>
      </c>
      <c r="B14" s="1">
        <v>45577</v>
      </c>
      <c r="C14" s="1" t="str">
        <f t="shared" si="0"/>
        <v>Oct</v>
      </c>
      <c r="D14" t="s">
        <v>17</v>
      </c>
      <c r="E14" t="s">
        <v>54</v>
      </c>
      <c r="F14" t="s">
        <v>55</v>
      </c>
      <c r="G14" s="8">
        <v>401.15</v>
      </c>
      <c r="H14">
        <v>5</v>
      </c>
      <c r="I14" s="8">
        <v>2005.75</v>
      </c>
      <c r="J14" s="8">
        <v>1563.68</v>
      </c>
      <c r="K14" s="8">
        <v>442.07</v>
      </c>
      <c r="L14" t="s">
        <v>34</v>
      </c>
      <c r="M14" t="s">
        <v>35</v>
      </c>
      <c r="N14" t="s">
        <v>29</v>
      </c>
      <c r="O14">
        <v>65</v>
      </c>
      <c r="P14" t="s">
        <v>39</v>
      </c>
      <c r="Q14">
        <v>8</v>
      </c>
    </row>
    <row r="15" spans="1:17" x14ac:dyDescent="0.25">
      <c r="A15" t="s">
        <v>62</v>
      </c>
      <c r="B15" s="1">
        <v>45674</v>
      </c>
      <c r="C15" s="1" t="str">
        <f t="shared" si="0"/>
        <v>Jan</v>
      </c>
      <c r="D15" t="s">
        <v>45</v>
      </c>
      <c r="E15" t="s">
        <v>46</v>
      </c>
      <c r="F15" t="s">
        <v>47</v>
      </c>
      <c r="G15" s="8">
        <v>413.55</v>
      </c>
      <c r="H15">
        <v>1</v>
      </c>
      <c r="I15" s="8">
        <v>413.55</v>
      </c>
      <c r="J15" s="8">
        <v>322.29000000000002</v>
      </c>
      <c r="K15" s="8">
        <v>91.26</v>
      </c>
      <c r="L15" t="s">
        <v>38</v>
      </c>
      <c r="M15" t="s">
        <v>35</v>
      </c>
      <c r="N15" t="s">
        <v>22</v>
      </c>
      <c r="O15">
        <v>47</v>
      </c>
      <c r="P15" t="s">
        <v>23</v>
      </c>
      <c r="Q15">
        <v>9</v>
      </c>
    </row>
    <row r="16" spans="1:17" x14ac:dyDescent="0.25">
      <c r="A16" t="s">
        <v>63</v>
      </c>
      <c r="B16" s="1">
        <v>45648</v>
      </c>
      <c r="C16" s="1" t="str">
        <f t="shared" si="0"/>
        <v>Dec</v>
      </c>
      <c r="D16" t="s">
        <v>45</v>
      </c>
      <c r="E16" t="s">
        <v>18</v>
      </c>
      <c r="F16" t="s">
        <v>64</v>
      </c>
      <c r="G16" s="8">
        <v>392.35</v>
      </c>
      <c r="H16">
        <v>4</v>
      </c>
      <c r="I16" s="8">
        <v>1569.4</v>
      </c>
      <c r="J16" s="8">
        <v>1163.72</v>
      </c>
      <c r="K16" s="8">
        <v>405.68</v>
      </c>
      <c r="L16" t="s">
        <v>52</v>
      </c>
      <c r="M16" t="s">
        <v>35</v>
      </c>
      <c r="N16" t="s">
        <v>29</v>
      </c>
      <c r="O16">
        <v>48</v>
      </c>
      <c r="P16" t="s">
        <v>23</v>
      </c>
      <c r="Q16">
        <v>9</v>
      </c>
    </row>
    <row r="17" spans="1:17" x14ac:dyDescent="0.25">
      <c r="A17" t="s">
        <v>65</v>
      </c>
      <c r="B17" s="1">
        <v>45478</v>
      </c>
      <c r="C17" s="1" t="str">
        <f t="shared" si="0"/>
        <v>Jul</v>
      </c>
      <c r="D17" t="s">
        <v>41</v>
      </c>
      <c r="E17" t="s">
        <v>46</v>
      </c>
      <c r="F17" t="s">
        <v>66</v>
      </c>
      <c r="G17" s="8">
        <v>792.87</v>
      </c>
      <c r="H17">
        <v>5</v>
      </c>
      <c r="I17" s="8">
        <v>3964.35</v>
      </c>
      <c r="J17" s="8">
        <v>2515.5300000000002</v>
      </c>
      <c r="K17" s="8">
        <v>1448.82</v>
      </c>
      <c r="L17" t="s">
        <v>20</v>
      </c>
      <c r="M17" t="s">
        <v>28</v>
      </c>
      <c r="N17" t="s">
        <v>22</v>
      </c>
      <c r="O17">
        <v>24</v>
      </c>
      <c r="P17" t="s">
        <v>39</v>
      </c>
      <c r="Q17">
        <v>3</v>
      </c>
    </row>
    <row r="18" spans="1:17" x14ac:dyDescent="0.25">
      <c r="A18" t="s">
        <v>67</v>
      </c>
      <c r="B18" s="1">
        <v>45340</v>
      </c>
      <c r="C18" s="1" t="str">
        <f t="shared" si="0"/>
        <v>Feb</v>
      </c>
      <c r="D18" t="s">
        <v>41</v>
      </c>
      <c r="E18" t="s">
        <v>18</v>
      </c>
      <c r="F18" t="s">
        <v>42</v>
      </c>
      <c r="G18" s="8">
        <v>783.96</v>
      </c>
      <c r="H18">
        <v>3</v>
      </c>
      <c r="I18" s="8">
        <v>2351.88</v>
      </c>
      <c r="J18" s="8">
        <v>1429.77</v>
      </c>
      <c r="K18" s="8">
        <v>922.11</v>
      </c>
      <c r="L18" t="s">
        <v>38</v>
      </c>
      <c r="M18" t="s">
        <v>21</v>
      </c>
      <c r="N18" t="s">
        <v>68</v>
      </c>
      <c r="O18">
        <v>50</v>
      </c>
      <c r="P18" t="s">
        <v>23</v>
      </c>
      <c r="Q18">
        <v>9</v>
      </c>
    </row>
    <row r="19" spans="1:17" x14ac:dyDescent="0.25">
      <c r="A19" t="s">
        <v>69</v>
      </c>
      <c r="B19" s="1">
        <v>45476</v>
      </c>
      <c r="C19" s="1" t="str">
        <f t="shared" si="0"/>
        <v>Jul</v>
      </c>
      <c r="D19" t="s">
        <v>25</v>
      </c>
      <c r="E19" t="s">
        <v>26</v>
      </c>
      <c r="F19" t="s">
        <v>27</v>
      </c>
      <c r="G19" s="8">
        <v>95.3</v>
      </c>
      <c r="H19">
        <v>4</v>
      </c>
      <c r="I19" s="8">
        <v>381.2</v>
      </c>
      <c r="J19" s="8">
        <v>220.89</v>
      </c>
      <c r="K19" s="8">
        <v>160.31</v>
      </c>
      <c r="L19" t="s">
        <v>52</v>
      </c>
      <c r="M19" t="s">
        <v>21</v>
      </c>
      <c r="N19" t="s">
        <v>29</v>
      </c>
      <c r="O19">
        <v>58</v>
      </c>
      <c r="P19" t="s">
        <v>39</v>
      </c>
      <c r="Q19">
        <v>5</v>
      </c>
    </row>
    <row r="20" spans="1:17" x14ac:dyDescent="0.25">
      <c r="A20" t="s">
        <v>70</v>
      </c>
      <c r="B20" s="1">
        <v>45847</v>
      </c>
      <c r="C20" s="1" t="str">
        <f t="shared" si="0"/>
        <v>Jul</v>
      </c>
      <c r="D20" t="s">
        <v>41</v>
      </c>
      <c r="E20" t="s">
        <v>46</v>
      </c>
      <c r="F20" t="s">
        <v>66</v>
      </c>
      <c r="G20" s="8">
        <v>814.41</v>
      </c>
      <c r="H20">
        <v>1</v>
      </c>
      <c r="I20" s="8">
        <v>814.41</v>
      </c>
      <c r="J20" s="8">
        <v>599.62</v>
      </c>
      <c r="K20" s="8">
        <v>214.79</v>
      </c>
      <c r="L20" t="s">
        <v>52</v>
      </c>
      <c r="M20" t="s">
        <v>28</v>
      </c>
      <c r="N20" t="s">
        <v>36</v>
      </c>
      <c r="O20">
        <v>28</v>
      </c>
      <c r="P20" t="s">
        <v>39</v>
      </c>
      <c r="Q20">
        <v>7</v>
      </c>
    </row>
    <row r="21" spans="1:17" x14ac:dyDescent="0.25">
      <c r="A21" t="s">
        <v>71</v>
      </c>
      <c r="B21" s="1">
        <v>45780</v>
      </c>
      <c r="C21" s="1" t="str">
        <f t="shared" si="0"/>
        <v>May</v>
      </c>
      <c r="D21" t="s">
        <v>25</v>
      </c>
      <c r="E21" t="s">
        <v>72</v>
      </c>
      <c r="F21" t="s">
        <v>73</v>
      </c>
      <c r="G21" s="8">
        <v>57.97</v>
      </c>
      <c r="H21">
        <v>5</v>
      </c>
      <c r="I21" s="8">
        <v>289.85000000000002</v>
      </c>
      <c r="J21" s="8">
        <v>209.33</v>
      </c>
      <c r="K21" s="8">
        <v>80.52</v>
      </c>
      <c r="L21" t="s">
        <v>20</v>
      </c>
      <c r="M21" t="s">
        <v>21</v>
      </c>
      <c r="N21" t="s">
        <v>43</v>
      </c>
      <c r="O21">
        <v>38</v>
      </c>
      <c r="P21" t="s">
        <v>39</v>
      </c>
      <c r="Q21">
        <v>2</v>
      </c>
    </row>
    <row r="22" spans="1:17" x14ac:dyDescent="0.25">
      <c r="A22" t="s">
        <v>74</v>
      </c>
      <c r="B22" s="1">
        <v>45850</v>
      </c>
      <c r="C22" s="1" t="str">
        <f t="shared" si="0"/>
        <v>Jul</v>
      </c>
      <c r="D22" t="s">
        <v>31</v>
      </c>
      <c r="E22" t="s">
        <v>32</v>
      </c>
      <c r="F22" t="s">
        <v>33</v>
      </c>
      <c r="G22" s="8">
        <v>1480.17</v>
      </c>
      <c r="H22">
        <v>2</v>
      </c>
      <c r="I22" s="8">
        <v>2960.34</v>
      </c>
      <c r="J22" s="8">
        <v>1712.29</v>
      </c>
      <c r="K22" s="8">
        <v>1248.05</v>
      </c>
      <c r="L22" t="s">
        <v>20</v>
      </c>
      <c r="M22" t="s">
        <v>21</v>
      </c>
      <c r="N22" t="s">
        <v>43</v>
      </c>
      <c r="O22">
        <v>23</v>
      </c>
      <c r="P22" t="s">
        <v>23</v>
      </c>
      <c r="Q22">
        <v>3</v>
      </c>
    </row>
    <row r="23" spans="1:17" x14ac:dyDescent="0.25">
      <c r="A23" t="s">
        <v>75</v>
      </c>
      <c r="B23" s="1">
        <v>45476</v>
      </c>
      <c r="C23" s="1" t="str">
        <f t="shared" si="0"/>
        <v>Jul</v>
      </c>
      <c r="D23" t="s">
        <v>31</v>
      </c>
      <c r="E23" t="s">
        <v>18</v>
      </c>
      <c r="F23" t="s">
        <v>58</v>
      </c>
      <c r="G23" s="8">
        <v>1531.05</v>
      </c>
      <c r="H23">
        <v>2</v>
      </c>
      <c r="I23" s="8">
        <v>3062.1</v>
      </c>
      <c r="J23" s="8">
        <v>1866.92</v>
      </c>
      <c r="K23" s="8">
        <v>1195.18</v>
      </c>
      <c r="L23" t="s">
        <v>20</v>
      </c>
      <c r="M23" t="s">
        <v>28</v>
      </c>
      <c r="N23" t="s">
        <v>36</v>
      </c>
      <c r="O23">
        <v>24</v>
      </c>
      <c r="P23" t="s">
        <v>39</v>
      </c>
      <c r="Q23">
        <v>8</v>
      </c>
    </row>
    <row r="24" spans="1:17" x14ac:dyDescent="0.25">
      <c r="A24" t="s">
        <v>76</v>
      </c>
      <c r="B24" s="1">
        <v>45398</v>
      </c>
      <c r="C24" s="1" t="str">
        <f t="shared" si="0"/>
        <v>Apr</v>
      </c>
      <c r="D24" t="s">
        <v>41</v>
      </c>
      <c r="E24" t="s">
        <v>18</v>
      </c>
      <c r="F24" t="s">
        <v>42</v>
      </c>
      <c r="G24" s="8">
        <v>797.9</v>
      </c>
      <c r="H24">
        <v>1</v>
      </c>
      <c r="I24" s="8">
        <v>797.9</v>
      </c>
      <c r="J24" s="8">
        <v>549.41</v>
      </c>
      <c r="K24" s="8">
        <v>248.49</v>
      </c>
      <c r="L24" t="s">
        <v>52</v>
      </c>
      <c r="M24" t="s">
        <v>21</v>
      </c>
      <c r="N24" t="s">
        <v>36</v>
      </c>
      <c r="O24">
        <v>30</v>
      </c>
      <c r="P24" t="s">
        <v>39</v>
      </c>
      <c r="Q24">
        <v>8</v>
      </c>
    </row>
    <row r="25" spans="1:17" x14ac:dyDescent="0.25">
      <c r="A25" t="s">
        <v>77</v>
      </c>
      <c r="B25" s="1">
        <v>45316</v>
      </c>
      <c r="C25" s="1" t="str">
        <f t="shared" si="0"/>
        <v>Jan</v>
      </c>
      <c r="D25" t="s">
        <v>41</v>
      </c>
      <c r="E25" t="s">
        <v>18</v>
      </c>
      <c r="F25" t="s">
        <v>42</v>
      </c>
      <c r="G25" s="8">
        <v>814.85</v>
      </c>
      <c r="H25">
        <v>1</v>
      </c>
      <c r="I25" s="8">
        <v>814.85</v>
      </c>
      <c r="J25" s="8">
        <v>454.37</v>
      </c>
      <c r="K25" s="8">
        <v>360.48</v>
      </c>
      <c r="L25" t="s">
        <v>20</v>
      </c>
      <c r="M25" t="s">
        <v>35</v>
      </c>
      <c r="N25" t="s">
        <v>22</v>
      </c>
      <c r="O25">
        <v>41</v>
      </c>
      <c r="P25" t="s">
        <v>39</v>
      </c>
      <c r="Q25">
        <v>3</v>
      </c>
    </row>
    <row r="26" spans="1:17" x14ac:dyDescent="0.25">
      <c r="A26" t="s">
        <v>78</v>
      </c>
      <c r="B26" s="1">
        <v>45621</v>
      </c>
      <c r="C26" s="1" t="str">
        <f t="shared" si="0"/>
        <v>Nov</v>
      </c>
      <c r="D26" t="s">
        <v>31</v>
      </c>
      <c r="E26" t="s">
        <v>32</v>
      </c>
      <c r="F26" t="s">
        <v>33</v>
      </c>
      <c r="G26" s="8">
        <v>1515.77</v>
      </c>
      <c r="H26">
        <v>3</v>
      </c>
      <c r="I26" s="8">
        <v>4547.3100000000004</v>
      </c>
      <c r="J26" s="8">
        <v>3565.45</v>
      </c>
      <c r="K26" s="8">
        <v>981.86</v>
      </c>
      <c r="L26" t="s">
        <v>20</v>
      </c>
      <c r="M26" t="s">
        <v>35</v>
      </c>
      <c r="N26" t="s">
        <v>68</v>
      </c>
      <c r="O26">
        <v>60</v>
      </c>
      <c r="P26" t="s">
        <v>39</v>
      </c>
      <c r="Q26">
        <v>2</v>
      </c>
    </row>
    <row r="27" spans="1:17" x14ac:dyDescent="0.25">
      <c r="A27" t="s">
        <v>79</v>
      </c>
      <c r="B27" s="1">
        <v>45463</v>
      </c>
      <c r="C27" s="1" t="str">
        <f t="shared" si="0"/>
        <v>Jun</v>
      </c>
      <c r="D27" t="s">
        <v>41</v>
      </c>
      <c r="E27" t="s">
        <v>46</v>
      </c>
      <c r="F27" t="s">
        <v>66</v>
      </c>
      <c r="G27" s="8">
        <v>826.05</v>
      </c>
      <c r="H27">
        <v>5</v>
      </c>
      <c r="I27" s="8">
        <v>4130.25</v>
      </c>
      <c r="J27" s="8">
        <v>3013.84</v>
      </c>
      <c r="K27" s="8">
        <v>1116.4100000000001</v>
      </c>
      <c r="L27" t="s">
        <v>34</v>
      </c>
      <c r="M27" t="s">
        <v>28</v>
      </c>
      <c r="N27" t="s">
        <v>36</v>
      </c>
      <c r="O27">
        <v>66</v>
      </c>
      <c r="P27" t="s">
        <v>23</v>
      </c>
      <c r="Q27">
        <v>3</v>
      </c>
    </row>
    <row r="28" spans="1:17" x14ac:dyDescent="0.25">
      <c r="A28" t="s">
        <v>80</v>
      </c>
      <c r="B28" s="1">
        <v>45720</v>
      </c>
      <c r="C28" s="1" t="str">
        <f t="shared" si="0"/>
        <v>Mar</v>
      </c>
      <c r="D28" t="s">
        <v>17</v>
      </c>
      <c r="E28" t="s">
        <v>54</v>
      </c>
      <c r="F28" t="s">
        <v>55</v>
      </c>
      <c r="G28" s="8">
        <v>422.73</v>
      </c>
      <c r="H28">
        <v>3</v>
      </c>
      <c r="I28" s="8">
        <v>1268.19</v>
      </c>
      <c r="J28" s="8">
        <v>907.69</v>
      </c>
      <c r="K28" s="8">
        <v>360.5</v>
      </c>
      <c r="L28" t="s">
        <v>52</v>
      </c>
      <c r="M28" t="s">
        <v>35</v>
      </c>
      <c r="N28" t="s">
        <v>43</v>
      </c>
      <c r="O28">
        <v>26</v>
      </c>
      <c r="P28" t="s">
        <v>23</v>
      </c>
      <c r="Q28">
        <v>6</v>
      </c>
    </row>
    <row r="29" spans="1:17" x14ac:dyDescent="0.25">
      <c r="A29" t="s">
        <v>81</v>
      </c>
      <c r="B29" s="1">
        <v>45626</v>
      </c>
      <c r="C29" s="1" t="str">
        <f t="shared" si="0"/>
        <v>Nov</v>
      </c>
      <c r="D29" t="s">
        <v>31</v>
      </c>
      <c r="E29" t="s">
        <v>32</v>
      </c>
      <c r="F29" t="s">
        <v>33</v>
      </c>
      <c r="G29" s="8">
        <v>1495.92</v>
      </c>
      <c r="H29">
        <v>4</v>
      </c>
      <c r="I29" s="8">
        <v>5983.68</v>
      </c>
      <c r="J29" s="8">
        <v>4036.99</v>
      </c>
      <c r="K29" s="8">
        <v>1946.69</v>
      </c>
      <c r="L29" t="s">
        <v>52</v>
      </c>
      <c r="M29" t="s">
        <v>28</v>
      </c>
      <c r="N29" t="s">
        <v>43</v>
      </c>
      <c r="O29">
        <v>26</v>
      </c>
      <c r="P29" t="s">
        <v>23</v>
      </c>
      <c r="Q29">
        <v>3</v>
      </c>
    </row>
    <row r="30" spans="1:17" x14ac:dyDescent="0.25">
      <c r="A30" t="s">
        <v>82</v>
      </c>
      <c r="B30" s="1">
        <v>45741</v>
      </c>
      <c r="C30" s="1" t="str">
        <f t="shared" si="0"/>
        <v>Mar</v>
      </c>
      <c r="D30" t="s">
        <v>17</v>
      </c>
      <c r="E30" t="s">
        <v>18</v>
      </c>
      <c r="F30" t="s">
        <v>19</v>
      </c>
      <c r="G30" s="8">
        <v>402.3</v>
      </c>
      <c r="H30">
        <v>5</v>
      </c>
      <c r="I30" s="8">
        <v>2011.5</v>
      </c>
      <c r="J30" s="8">
        <v>1210.1300000000001</v>
      </c>
      <c r="K30" s="8">
        <v>801.37</v>
      </c>
      <c r="L30" t="s">
        <v>38</v>
      </c>
      <c r="M30" t="s">
        <v>28</v>
      </c>
      <c r="N30" t="s">
        <v>48</v>
      </c>
      <c r="O30">
        <v>56</v>
      </c>
      <c r="P30" t="s">
        <v>23</v>
      </c>
      <c r="Q30">
        <v>8</v>
      </c>
    </row>
    <row r="31" spans="1:17" x14ac:dyDescent="0.25">
      <c r="A31" t="s">
        <v>83</v>
      </c>
      <c r="B31" s="1">
        <v>45415</v>
      </c>
      <c r="C31" s="1" t="str">
        <f t="shared" si="0"/>
        <v>May</v>
      </c>
      <c r="D31" t="s">
        <v>45</v>
      </c>
      <c r="E31" t="s">
        <v>18</v>
      </c>
      <c r="F31" t="s">
        <v>64</v>
      </c>
      <c r="G31" s="8">
        <v>407.41</v>
      </c>
      <c r="H31">
        <v>3</v>
      </c>
      <c r="I31" s="8">
        <v>1222.23</v>
      </c>
      <c r="J31" s="8">
        <v>940.94</v>
      </c>
      <c r="K31" s="8">
        <v>281.29000000000002</v>
      </c>
      <c r="L31" t="s">
        <v>52</v>
      </c>
      <c r="M31" t="s">
        <v>35</v>
      </c>
      <c r="N31" t="s">
        <v>29</v>
      </c>
      <c r="O31">
        <v>45</v>
      </c>
      <c r="P31" t="s">
        <v>39</v>
      </c>
      <c r="Q31">
        <v>3</v>
      </c>
    </row>
    <row r="32" spans="1:17" x14ac:dyDescent="0.25">
      <c r="A32" t="s">
        <v>84</v>
      </c>
      <c r="B32" s="1">
        <v>45304</v>
      </c>
      <c r="C32" s="1" t="str">
        <f t="shared" si="0"/>
        <v>Jan</v>
      </c>
      <c r="D32" t="s">
        <v>25</v>
      </c>
      <c r="E32" t="s">
        <v>26</v>
      </c>
      <c r="F32" t="s">
        <v>27</v>
      </c>
      <c r="G32" s="8">
        <v>84.76</v>
      </c>
      <c r="H32">
        <v>4</v>
      </c>
      <c r="I32" s="8">
        <v>339.04</v>
      </c>
      <c r="J32" s="8">
        <v>209.41</v>
      </c>
      <c r="K32" s="8">
        <v>129.63</v>
      </c>
      <c r="L32" t="s">
        <v>52</v>
      </c>
      <c r="M32" t="s">
        <v>28</v>
      </c>
      <c r="N32" t="s">
        <v>48</v>
      </c>
      <c r="O32">
        <v>47</v>
      </c>
      <c r="P32" t="s">
        <v>23</v>
      </c>
      <c r="Q32">
        <v>2</v>
      </c>
    </row>
    <row r="33" spans="1:17" x14ac:dyDescent="0.25">
      <c r="A33" t="s">
        <v>85</v>
      </c>
      <c r="B33" s="1">
        <v>45577</v>
      </c>
      <c r="C33" s="1" t="str">
        <f t="shared" si="0"/>
        <v>Oct</v>
      </c>
      <c r="D33" t="s">
        <v>31</v>
      </c>
      <c r="E33" t="s">
        <v>32</v>
      </c>
      <c r="F33" t="s">
        <v>33</v>
      </c>
      <c r="G33" s="8">
        <v>1502.11</v>
      </c>
      <c r="H33">
        <v>4</v>
      </c>
      <c r="I33" s="8">
        <v>6008.44</v>
      </c>
      <c r="J33" s="8">
        <v>4104.4399999999996</v>
      </c>
      <c r="K33" s="8">
        <v>1904</v>
      </c>
      <c r="L33" t="s">
        <v>38</v>
      </c>
      <c r="M33" t="s">
        <v>21</v>
      </c>
      <c r="N33" t="s">
        <v>48</v>
      </c>
      <c r="O33">
        <v>33</v>
      </c>
      <c r="P33" t="s">
        <v>23</v>
      </c>
      <c r="Q33">
        <v>6</v>
      </c>
    </row>
    <row r="34" spans="1:17" x14ac:dyDescent="0.25">
      <c r="A34" t="s">
        <v>86</v>
      </c>
      <c r="B34" s="1">
        <v>45612</v>
      </c>
      <c r="C34" s="1" t="str">
        <f t="shared" si="0"/>
        <v>Nov</v>
      </c>
      <c r="D34" t="s">
        <v>31</v>
      </c>
      <c r="E34" t="s">
        <v>18</v>
      </c>
      <c r="F34" t="s">
        <v>58</v>
      </c>
      <c r="G34" s="8">
        <v>1501.24</v>
      </c>
      <c r="H34">
        <v>1</v>
      </c>
      <c r="I34" s="8">
        <v>1501.24</v>
      </c>
      <c r="J34" s="8">
        <v>831.41</v>
      </c>
      <c r="K34" s="8">
        <v>669.83</v>
      </c>
      <c r="L34" t="s">
        <v>34</v>
      </c>
      <c r="M34" t="s">
        <v>35</v>
      </c>
      <c r="N34" t="s">
        <v>22</v>
      </c>
      <c r="O34">
        <v>61</v>
      </c>
      <c r="P34" t="s">
        <v>23</v>
      </c>
      <c r="Q34">
        <v>6</v>
      </c>
    </row>
    <row r="35" spans="1:17" x14ac:dyDescent="0.25">
      <c r="A35" t="s">
        <v>87</v>
      </c>
      <c r="B35" s="1">
        <v>45505</v>
      </c>
      <c r="C35" s="1" t="str">
        <f t="shared" si="0"/>
        <v>Aug</v>
      </c>
      <c r="D35" t="s">
        <v>25</v>
      </c>
      <c r="E35" t="s">
        <v>26</v>
      </c>
      <c r="F35" t="s">
        <v>27</v>
      </c>
      <c r="G35" s="8">
        <v>67.67</v>
      </c>
      <c r="H35">
        <v>3</v>
      </c>
      <c r="I35" s="8">
        <v>203.01</v>
      </c>
      <c r="J35" s="8">
        <v>146.11000000000001</v>
      </c>
      <c r="K35" s="8">
        <v>56.9</v>
      </c>
      <c r="L35" t="s">
        <v>20</v>
      </c>
      <c r="M35" t="s">
        <v>21</v>
      </c>
      <c r="N35" t="s">
        <v>48</v>
      </c>
      <c r="O35">
        <v>39</v>
      </c>
      <c r="P35" t="s">
        <v>23</v>
      </c>
      <c r="Q35">
        <v>8</v>
      </c>
    </row>
    <row r="36" spans="1:17" x14ac:dyDescent="0.25">
      <c r="A36" t="s">
        <v>88</v>
      </c>
      <c r="B36" s="1">
        <v>45868</v>
      </c>
      <c r="C36" s="1" t="str">
        <f t="shared" si="0"/>
        <v>Jul</v>
      </c>
      <c r="D36" t="s">
        <v>31</v>
      </c>
      <c r="E36" t="s">
        <v>18</v>
      </c>
      <c r="F36" t="s">
        <v>58</v>
      </c>
      <c r="G36" s="8">
        <v>1477.37</v>
      </c>
      <c r="H36">
        <v>5</v>
      </c>
      <c r="I36" s="8">
        <v>7386.85</v>
      </c>
      <c r="J36" s="8">
        <v>4317.93</v>
      </c>
      <c r="K36" s="8">
        <v>3068.92</v>
      </c>
      <c r="L36" t="s">
        <v>52</v>
      </c>
      <c r="M36" t="s">
        <v>35</v>
      </c>
      <c r="N36" t="s">
        <v>36</v>
      </c>
      <c r="O36">
        <v>42</v>
      </c>
      <c r="P36" t="s">
        <v>39</v>
      </c>
      <c r="Q36">
        <v>1</v>
      </c>
    </row>
    <row r="37" spans="1:17" x14ac:dyDescent="0.25">
      <c r="A37" t="s">
        <v>89</v>
      </c>
      <c r="B37" s="1">
        <v>45428</v>
      </c>
      <c r="C37" s="1" t="str">
        <f t="shared" si="0"/>
        <v>May</v>
      </c>
      <c r="D37" t="s">
        <v>17</v>
      </c>
      <c r="E37" t="s">
        <v>18</v>
      </c>
      <c r="F37" t="s">
        <v>19</v>
      </c>
      <c r="G37" s="8">
        <v>375.66</v>
      </c>
      <c r="H37">
        <v>2</v>
      </c>
      <c r="I37" s="8">
        <v>751.32</v>
      </c>
      <c r="J37" s="8">
        <v>443.7</v>
      </c>
      <c r="K37" s="8">
        <v>307.62</v>
      </c>
      <c r="L37" t="s">
        <v>52</v>
      </c>
      <c r="M37" t="s">
        <v>35</v>
      </c>
      <c r="N37" t="s">
        <v>36</v>
      </c>
      <c r="O37">
        <v>63</v>
      </c>
      <c r="P37" t="s">
        <v>39</v>
      </c>
      <c r="Q37">
        <v>7</v>
      </c>
    </row>
    <row r="38" spans="1:17" x14ac:dyDescent="0.25">
      <c r="A38" t="s">
        <v>90</v>
      </c>
      <c r="B38" s="1">
        <v>45497</v>
      </c>
      <c r="C38" s="1" t="str">
        <f t="shared" si="0"/>
        <v>Jul</v>
      </c>
      <c r="D38" t="s">
        <v>17</v>
      </c>
      <c r="E38" t="s">
        <v>54</v>
      </c>
      <c r="F38" t="s">
        <v>55</v>
      </c>
      <c r="G38" s="8">
        <v>413.06</v>
      </c>
      <c r="H38">
        <v>1</v>
      </c>
      <c r="I38" s="8">
        <v>413.06</v>
      </c>
      <c r="J38" s="8">
        <v>327.98</v>
      </c>
      <c r="K38" s="8">
        <v>85.08</v>
      </c>
      <c r="L38" t="s">
        <v>52</v>
      </c>
      <c r="M38" t="s">
        <v>21</v>
      </c>
      <c r="N38" t="s">
        <v>36</v>
      </c>
      <c r="O38">
        <v>67</v>
      </c>
      <c r="P38" t="s">
        <v>23</v>
      </c>
      <c r="Q38">
        <v>6</v>
      </c>
    </row>
    <row r="39" spans="1:17" x14ac:dyDescent="0.25">
      <c r="A39" t="s">
        <v>91</v>
      </c>
      <c r="B39" s="1">
        <v>45747</v>
      </c>
      <c r="C39" s="1" t="str">
        <f t="shared" si="0"/>
        <v>Mar</v>
      </c>
      <c r="D39" t="s">
        <v>41</v>
      </c>
      <c r="E39" t="s">
        <v>18</v>
      </c>
      <c r="F39" t="s">
        <v>42</v>
      </c>
      <c r="G39" s="8">
        <v>807.2</v>
      </c>
      <c r="H39">
        <v>3</v>
      </c>
      <c r="I39" s="8">
        <v>2421.6</v>
      </c>
      <c r="J39" s="8">
        <v>1453.28</v>
      </c>
      <c r="K39" s="8">
        <v>968.32</v>
      </c>
      <c r="L39" t="s">
        <v>38</v>
      </c>
      <c r="M39" t="s">
        <v>21</v>
      </c>
      <c r="N39" t="s">
        <v>29</v>
      </c>
      <c r="O39">
        <v>18</v>
      </c>
      <c r="P39" t="s">
        <v>23</v>
      </c>
      <c r="Q39">
        <v>9</v>
      </c>
    </row>
    <row r="40" spans="1:17" x14ac:dyDescent="0.25">
      <c r="A40" t="s">
        <v>92</v>
      </c>
      <c r="B40" s="1">
        <v>45318</v>
      </c>
      <c r="C40" s="1" t="str">
        <f t="shared" si="0"/>
        <v>Jan</v>
      </c>
      <c r="D40" t="s">
        <v>31</v>
      </c>
      <c r="E40" t="s">
        <v>32</v>
      </c>
      <c r="F40" t="s">
        <v>33</v>
      </c>
      <c r="G40" s="8">
        <v>1516.67</v>
      </c>
      <c r="H40">
        <v>1</v>
      </c>
      <c r="I40" s="8">
        <v>1516.67</v>
      </c>
      <c r="J40" s="8">
        <v>1213.1199999999999</v>
      </c>
      <c r="K40" s="8">
        <v>303.55</v>
      </c>
      <c r="L40" t="s">
        <v>38</v>
      </c>
      <c r="M40" t="s">
        <v>28</v>
      </c>
      <c r="N40" t="s">
        <v>36</v>
      </c>
      <c r="O40">
        <v>39</v>
      </c>
      <c r="P40" t="s">
        <v>23</v>
      </c>
      <c r="Q40">
        <v>6</v>
      </c>
    </row>
    <row r="41" spans="1:17" x14ac:dyDescent="0.25">
      <c r="A41" t="s">
        <v>93</v>
      </c>
      <c r="B41" s="1">
        <v>45354</v>
      </c>
      <c r="C41" s="1" t="str">
        <f t="shared" si="0"/>
        <v>Mar</v>
      </c>
      <c r="D41" t="s">
        <v>31</v>
      </c>
      <c r="E41" t="s">
        <v>50</v>
      </c>
      <c r="F41" t="s">
        <v>51</v>
      </c>
      <c r="G41" s="8">
        <v>1463.42</v>
      </c>
      <c r="H41">
        <v>4</v>
      </c>
      <c r="I41" s="8">
        <v>5853.68</v>
      </c>
      <c r="J41" s="8">
        <v>3821.38</v>
      </c>
      <c r="K41" s="8">
        <v>2032.3</v>
      </c>
      <c r="L41" t="s">
        <v>52</v>
      </c>
      <c r="M41" t="s">
        <v>28</v>
      </c>
      <c r="N41" t="s">
        <v>68</v>
      </c>
      <c r="O41">
        <v>26</v>
      </c>
      <c r="P41" t="s">
        <v>39</v>
      </c>
      <c r="Q41">
        <v>2</v>
      </c>
    </row>
    <row r="42" spans="1:17" x14ac:dyDescent="0.25">
      <c r="A42" t="s">
        <v>94</v>
      </c>
      <c r="B42" s="1">
        <v>45807</v>
      </c>
      <c r="C42" s="1" t="str">
        <f t="shared" si="0"/>
        <v>May</v>
      </c>
      <c r="D42" t="s">
        <v>25</v>
      </c>
      <c r="E42" t="s">
        <v>72</v>
      </c>
      <c r="F42" t="s">
        <v>73</v>
      </c>
      <c r="G42" s="8">
        <v>80.64</v>
      </c>
      <c r="H42">
        <v>1</v>
      </c>
      <c r="I42" s="8">
        <v>80.64</v>
      </c>
      <c r="J42" s="8">
        <v>59.31</v>
      </c>
      <c r="K42" s="8">
        <v>21.33</v>
      </c>
      <c r="L42" t="s">
        <v>52</v>
      </c>
      <c r="M42" t="s">
        <v>28</v>
      </c>
      <c r="N42" t="s">
        <v>29</v>
      </c>
      <c r="O42">
        <v>44</v>
      </c>
      <c r="P42" t="s">
        <v>23</v>
      </c>
      <c r="Q42">
        <v>8</v>
      </c>
    </row>
    <row r="43" spans="1:17" x14ac:dyDescent="0.25">
      <c r="A43" t="s">
        <v>95</v>
      </c>
      <c r="B43" s="1">
        <v>45496</v>
      </c>
      <c r="C43" s="1" t="str">
        <f t="shared" si="0"/>
        <v>Jul</v>
      </c>
      <c r="D43" t="s">
        <v>41</v>
      </c>
      <c r="E43" t="s">
        <v>18</v>
      </c>
      <c r="F43" t="s">
        <v>42</v>
      </c>
      <c r="G43" s="8">
        <v>795.1</v>
      </c>
      <c r="H43">
        <v>3</v>
      </c>
      <c r="I43" s="8">
        <v>2385.3000000000002</v>
      </c>
      <c r="J43" s="8">
        <v>1568.76</v>
      </c>
      <c r="K43" s="8">
        <v>816.54</v>
      </c>
      <c r="L43" t="s">
        <v>34</v>
      </c>
      <c r="M43" t="s">
        <v>28</v>
      </c>
      <c r="N43" t="s">
        <v>22</v>
      </c>
      <c r="O43">
        <v>42</v>
      </c>
      <c r="P43" t="s">
        <v>39</v>
      </c>
      <c r="Q43">
        <v>2</v>
      </c>
    </row>
    <row r="44" spans="1:17" x14ac:dyDescent="0.25">
      <c r="A44" t="s">
        <v>96</v>
      </c>
      <c r="B44" s="1">
        <v>45587</v>
      </c>
      <c r="C44" s="1" t="str">
        <f t="shared" si="0"/>
        <v>Oct</v>
      </c>
      <c r="D44" t="s">
        <v>41</v>
      </c>
      <c r="E44" t="s">
        <v>18</v>
      </c>
      <c r="F44" t="s">
        <v>42</v>
      </c>
      <c r="G44" s="8">
        <v>771.76</v>
      </c>
      <c r="H44">
        <v>2</v>
      </c>
      <c r="I44" s="8">
        <v>1543.52</v>
      </c>
      <c r="J44" s="8">
        <v>1135.45</v>
      </c>
      <c r="K44" s="8">
        <v>408.07</v>
      </c>
      <c r="L44" t="s">
        <v>52</v>
      </c>
      <c r="M44" t="s">
        <v>21</v>
      </c>
      <c r="N44" t="s">
        <v>68</v>
      </c>
      <c r="O44">
        <v>18</v>
      </c>
      <c r="P44" t="s">
        <v>23</v>
      </c>
      <c r="Q44">
        <v>6</v>
      </c>
    </row>
    <row r="45" spans="1:17" x14ac:dyDescent="0.25">
      <c r="A45" t="s">
        <v>97</v>
      </c>
      <c r="B45" s="1">
        <v>45477</v>
      </c>
      <c r="C45" s="1" t="str">
        <f t="shared" si="0"/>
        <v>Jul</v>
      </c>
      <c r="D45" t="s">
        <v>45</v>
      </c>
      <c r="E45" t="s">
        <v>18</v>
      </c>
      <c r="F45" t="s">
        <v>64</v>
      </c>
      <c r="G45" s="8">
        <v>386.98</v>
      </c>
      <c r="H45">
        <v>2</v>
      </c>
      <c r="I45" s="8">
        <v>773.96</v>
      </c>
      <c r="J45" s="8">
        <v>501.49</v>
      </c>
      <c r="K45" s="8">
        <v>272.47000000000003</v>
      </c>
      <c r="L45" t="s">
        <v>38</v>
      </c>
      <c r="M45" t="s">
        <v>21</v>
      </c>
      <c r="N45" t="s">
        <v>36</v>
      </c>
      <c r="O45">
        <v>20</v>
      </c>
      <c r="P45" t="s">
        <v>39</v>
      </c>
      <c r="Q45">
        <v>2</v>
      </c>
    </row>
    <row r="46" spans="1:17" x14ac:dyDescent="0.25">
      <c r="A46" t="s">
        <v>98</v>
      </c>
      <c r="B46" s="1">
        <v>45588</v>
      </c>
      <c r="C46" s="1" t="str">
        <f t="shared" si="0"/>
        <v>Oct</v>
      </c>
      <c r="D46" t="s">
        <v>17</v>
      </c>
      <c r="E46" t="s">
        <v>54</v>
      </c>
      <c r="F46" t="s">
        <v>55</v>
      </c>
      <c r="G46" s="8">
        <v>405.37</v>
      </c>
      <c r="H46">
        <v>5</v>
      </c>
      <c r="I46" s="8">
        <v>2026.85</v>
      </c>
      <c r="J46" s="8">
        <v>1549.17</v>
      </c>
      <c r="K46" s="8">
        <v>477.68</v>
      </c>
      <c r="L46" t="s">
        <v>34</v>
      </c>
      <c r="M46" t="s">
        <v>35</v>
      </c>
      <c r="N46" t="s">
        <v>36</v>
      </c>
      <c r="O46">
        <v>37</v>
      </c>
      <c r="P46" t="s">
        <v>23</v>
      </c>
      <c r="Q46">
        <v>6</v>
      </c>
    </row>
    <row r="47" spans="1:17" x14ac:dyDescent="0.25">
      <c r="A47" t="s">
        <v>99</v>
      </c>
      <c r="B47" s="1">
        <v>45341</v>
      </c>
      <c r="C47" s="1" t="str">
        <f t="shared" si="0"/>
        <v>Feb</v>
      </c>
      <c r="D47" t="s">
        <v>45</v>
      </c>
      <c r="E47" t="s">
        <v>18</v>
      </c>
      <c r="F47" t="s">
        <v>64</v>
      </c>
      <c r="G47" s="8">
        <v>421.68</v>
      </c>
      <c r="H47">
        <v>1</v>
      </c>
      <c r="I47" s="8">
        <v>421.68</v>
      </c>
      <c r="J47" s="8">
        <v>319.08</v>
      </c>
      <c r="K47" s="8">
        <v>102.6</v>
      </c>
      <c r="L47" t="s">
        <v>52</v>
      </c>
      <c r="M47" t="s">
        <v>21</v>
      </c>
      <c r="N47" t="s">
        <v>68</v>
      </c>
      <c r="O47">
        <v>53</v>
      </c>
      <c r="P47" t="s">
        <v>23</v>
      </c>
      <c r="Q47">
        <v>6</v>
      </c>
    </row>
    <row r="48" spans="1:17" x14ac:dyDescent="0.25">
      <c r="A48" t="s">
        <v>100</v>
      </c>
      <c r="B48" s="1">
        <v>45474</v>
      </c>
      <c r="C48" s="1" t="str">
        <f t="shared" si="0"/>
        <v>Jul</v>
      </c>
      <c r="D48" t="s">
        <v>31</v>
      </c>
      <c r="E48" t="s">
        <v>18</v>
      </c>
      <c r="F48" t="s">
        <v>58</v>
      </c>
      <c r="G48" s="8">
        <v>1478.86</v>
      </c>
      <c r="H48">
        <v>2</v>
      </c>
      <c r="I48" s="8">
        <v>2957.72</v>
      </c>
      <c r="J48" s="8">
        <v>2287.02</v>
      </c>
      <c r="K48" s="8">
        <v>670.7</v>
      </c>
      <c r="L48" t="s">
        <v>52</v>
      </c>
      <c r="M48" t="s">
        <v>28</v>
      </c>
      <c r="N48" t="s">
        <v>48</v>
      </c>
      <c r="O48">
        <v>33</v>
      </c>
      <c r="P48" t="s">
        <v>23</v>
      </c>
      <c r="Q48">
        <v>9</v>
      </c>
    </row>
    <row r="49" spans="1:17" x14ac:dyDescent="0.25">
      <c r="A49" t="s">
        <v>101</v>
      </c>
      <c r="B49" s="1">
        <v>45687</v>
      </c>
      <c r="C49" s="1" t="str">
        <f t="shared" si="0"/>
        <v>Jan</v>
      </c>
      <c r="D49" t="s">
        <v>41</v>
      </c>
      <c r="E49" t="s">
        <v>18</v>
      </c>
      <c r="F49" t="s">
        <v>42</v>
      </c>
      <c r="G49" s="8">
        <v>781.81</v>
      </c>
      <c r="H49">
        <v>3</v>
      </c>
      <c r="I49" s="8">
        <v>2345.4299999999998</v>
      </c>
      <c r="J49" s="8">
        <v>1525.52</v>
      </c>
      <c r="K49" s="8">
        <v>819.91</v>
      </c>
      <c r="L49" t="s">
        <v>38</v>
      </c>
      <c r="M49" t="s">
        <v>28</v>
      </c>
      <c r="N49" t="s">
        <v>68</v>
      </c>
      <c r="O49">
        <v>41</v>
      </c>
      <c r="P49" t="s">
        <v>23</v>
      </c>
      <c r="Q49">
        <v>10</v>
      </c>
    </row>
    <row r="50" spans="1:17" x14ac:dyDescent="0.25">
      <c r="A50" t="s">
        <v>102</v>
      </c>
      <c r="B50" s="1">
        <v>45814</v>
      </c>
      <c r="C50" s="1" t="str">
        <f t="shared" si="0"/>
        <v>Jun</v>
      </c>
      <c r="D50" t="s">
        <v>17</v>
      </c>
      <c r="E50" t="s">
        <v>54</v>
      </c>
      <c r="F50" t="s">
        <v>55</v>
      </c>
      <c r="G50" s="8">
        <v>389.14</v>
      </c>
      <c r="H50">
        <v>2</v>
      </c>
      <c r="I50" s="8">
        <v>778.28</v>
      </c>
      <c r="J50" s="8">
        <v>456.66</v>
      </c>
      <c r="K50" s="8">
        <v>321.62</v>
      </c>
      <c r="L50" t="s">
        <v>34</v>
      </c>
      <c r="M50" t="s">
        <v>21</v>
      </c>
      <c r="N50" t="s">
        <v>29</v>
      </c>
      <c r="O50">
        <v>55</v>
      </c>
      <c r="P50" t="s">
        <v>23</v>
      </c>
      <c r="Q50">
        <v>6</v>
      </c>
    </row>
    <row r="51" spans="1:17" x14ac:dyDescent="0.25">
      <c r="A51" t="s">
        <v>103</v>
      </c>
      <c r="B51" s="1">
        <v>45408</v>
      </c>
      <c r="C51" s="1" t="str">
        <f t="shared" si="0"/>
        <v>Apr</v>
      </c>
      <c r="D51" t="s">
        <v>25</v>
      </c>
      <c r="E51" t="s">
        <v>72</v>
      </c>
      <c r="F51" t="s">
        <v>73</v>
      </c>
      <c r="G51" s="8">
        <v>69.650000000000006</v>
      </c>
      <c r="H51">
        <v>3</v>
      </c>
      <c r="I51" s="8">
        <v>208.95</v>
      </c>
      <c r="J51" s="8">
        <v>155.83000000000001</v>
      </c>
      <c r="K51" s="8">
        <v>53.12</v>
      </c>
      <c r="L51" t="s">
        <v>38</v>
      </c>
      <c r="M51" t="s">
        <v>35</v>
      </c>
      <c r="N51" t="s">
        <v>22</v>
      </c>
      <c r="O51">
        <v>54</v>
      </c>
      <c r="P51" t="s">
        <v>39</v>
      </c>
      <c r="Q51">
        <v>1</v>
      </c>
    </row>
    <row r="52" spans="1:17" x14ac:dyDescent="0.25">
      <c r="A52" t="s">
        <v>104</v>
      </c>
      <c r="B52" s="1">
        <v>45305</v>
      </c>
      <c r="C52" s="1" t="str">
        <f t="shared" si="0"/>
        <v>Jan</v>
      </c>
      <c r="D52" t="s">
        <v>25</v>
      </c>
      <c r="E52" t="s">
        <v>26</v>
      </c>
      <c r="F52" t="s">
        <v>27</v>
      </c>
      <c r="G52" s="8">
        <v>68.540000000000006</v>
      </c>
      <c r="H52">
        <v>3</v>
      </c>
      <c r="I52" s="8">
        <v>205.62</v>
      </c>
      <c r="J52" s="8">
        <v>128.15</v>
      </c>
      <c r="K52" s="8">
        <v>77.47</v>
      </c>
      <c r="L52" t="s">
        <v>52</v>
      </c>
      <c r="M52" t="s">
        <v>21</v>
      </c>
      <c r="N52" t="s">
        <v>48</v>
      </c>
      <c r="O52">
        <v>32</v>
      </c>
      <c r="P52" t="s">
        <v>39</v>
      </c>
      <c r="Q52">
        <v>6</v>
      </c>
    </row>
    <row r="53" spans="1:17" x14ac:dyDescent="0.25">
      <c r="A53" t="s">
        <v>105</v>
      </c>
      <c r="B53" s="1">
        <v>45388</v>
      </c>
      <c r="C53" s="1" t="str">
        <f t="shared" si="0"/>
        <v>Apr</v>
      </c>
      <c r="D53" t="s">
        <v>45</v>
      </c>
      <c r="E53" t="s">
        <v>46</v>
      </c>
      <c r="F53" t="s">
        <v>47</v>
      </c>
      <c r="G53" s="8">
        <v>393.44</v>
      </c>
      <c r="H53">
        <v>2</v>
      </c>
      <c r="I53" s="8">
        <v>786.88</v>
      </c>
      <c r="J53" s="8">
        <v>586.72</v>
      </c>
      <c r="K53" s="8">
        <v>200.16</v>
      </c>
      <c r="L53" t="s">
        <v>52</v>
      </c>
      <c r="M53" t="s">
        <v>28</v>
      </c>
      <c r="N53" t="s">
        <v>43</v>
      </c>
      <c r="O53">
        <v>37</v>
      </c>
      <c r="P53" t="s">
        <v>23</v>
      </c>
      <c r="Q53">
        <v>9</v>
      </c>
    </row>
    <row r="54" spans="1:17" x14ac:dyDescent="0.25">
      <c r="A54" t="s">
        <v>106</v>
      </c>
      <c r="B54" s="1">
        <v>45868</v>
      </c>
      <c r="C54" s="1" t="str">
        <f t="shared" si="0"/>
        <v>Jul</v>
      </c>
      <c r="D54" t="s">
        <v>45</v>
      </c>
      <c r="E54" t="s">
        <v>18</v>
      </c>
      <c r="F54" t="s">
        <v>64</v>
      </c>
      <c r="G54" s="8">
        <v>427.51</v>
      </c>
      <c r="H54">
        <v>2</v>
      </c>
      <c r="I54" s="8">
        <v>855.02</v>
      </c>
      <c r="J54" s="8">
        <v>550.16999999999996</v>
      </c>
      <c r="K54" s="8">
        <v>304.85000000000002</v>
      </c>
      <c r="L54" t="s">
        <v>52</v>
      </c>
      <c r="M54" t="s">
        <v>35</v>
      </c>
      <c r="N54" t="s">
        <v>68</v>
      </c>
      <c r="O54">
        <v>59</v>
      </c>
      <c r="P54" t="s">
        <v>39</v>
      </c>
      <c r="Q54">
        <v>5</v>
      </c>
    </row>
    <row r="55" spans="1:17" x14ac:dyDescent="0.25">
      <c r="A55" t="s">
        <v>107</v>
      </c>
      <c r="B55" s="1">
        <v>45375</v>
      </c>
      <c r="C55" s="1" t="str">
        <f t="shared" si="0"/>
        <v>Mar</v>
      </c>
      <c r="D55" t="s">
        <v>41</v>
      </c>
      <c r="E55" t="s">
        <v>46</v>
      </c>
      <c r="F55" t="s">
        <v>66</v>
      </c>
      <c r="G55" s="8">
        <v>804.78</v>
      </c>
      <c r="H55">
        <v>5</v>
      </c>
      <c r="I55" s="8">
        <v>4023.9</v>
      </c>
      <c r="J55" s="8">
        <v>2574.84</v>
      </c>
      <c r="K55" s="8">
        <v>1449.06</v>
      </c>
      <c r="L55" t="s">
        <v>38</v>
      </c>
      <c r="M55" t="s">
        <v>35</v>
      </c>
      <c r="N55" t="s">
        <v>68</v>
      </c>
      <c r="O55">
        <v>50</v>
      </c>
      <c r="P55" t="s">
        <v>39</v>
      </c>
      <c r="Q55">
        <v>1</v>
      </c>
    </row>
    <row r="56" spans="1:17" x14ac:dyDescent="0.25">
      <c r="A56" t="s">
        <v>108</v>
      </c>
      <c r="B56" s="1">
        <v>45566</v>
      </c>
      <c r="C56" s="1" t="str">
        <f t="shared" si="0"/>
        <v>Oct</v>
      </c>
      <c r="D56" t="s">
        <v>31</v>
      </c>
      <c r="E56" t="s">
        <v>32</v>
      </c>
      <c r="F56" t="s">
        <v>33</v>
      </c>
      <c r="G56" s="8">
        <v>1487.98</v>
      </c>
      <c r="H56">
        <v>5</v>
      </c>
      <c r="I56" s="8">
        <v>7439.9</v>
      </c>
      <c r="J56" s="8">
        <v>4899.51</v>
      </c>
      <c r="K56" s="8">
        <v>2540.39</v>
      </c>
      <c r="L56" t="s">
        <v>52</v>
      </c>
      <c r="M56" t="s">
        <v>35</v>
      </c>
      <c r="N56" t="s">
        <v>43</v>
      </c>
      <c r="O56">
        <v>30</v>
      </c>
      <c r="P56" t="s">
        <v>39</v>
      </c>
      <c r="Q56">
        <v>10</v>
      </c>
    </row>
    <row r="57" spans="1:17" x14ac:dyDescent="0.25">
      <c r="A57" t="s">
        <v>109</v>
      </c>
      <c r="B57" s="1">
        <v>45381</v>
      </c>
      <c r="C57" s="1" t="str">
        <f t="shared" si="0"/>
        <v>Mar</v>
      </c>
      <c r="D57" t="s">
        <v>45</v>
      </c>
      <c r="E57" t="s">
        <v>46</v>
      </c>
      <c r="F57" t="s">
        <v>47</v>
      </c>
      <c r="G57" s="8">
        <v>397.15</v>
      </c>
      <c r="H57">
        <v>3</v>
      </c>
      <c r="I57" s="8">
        <v>1191.45</v>
      </c>
      <c r="J57" s="8">
        <v>765.38</v>
      </c>
      <c r="K57" s="8">
        <v>426.07</v>
      </c>
      <c r="L57" t="s">
        <v>52</v>
      </c>
      <c r="M57" t="s">
        <v>21</v>
      </c>
      <c r="N57" t="s">
        <v>68</v>
      </c>
      <c r="O57">
        <v>36</v>
      </c>
      <c r="P57" t="s">
        <v>39</v>
      </c>
      <c r="Q57">
        <v>7</v>
      </c>
    </row>
    <row r="58" spans="1:17" x14ac:dyDescent="0.25">
      <c r="A58" t="s">
        <v>110</v>
      </c>
      <c r="B58" s="1">
        <v>45456</v>
      </c>
      <c r="C58" s="1" t="str">
        <f t="shared" si="0"/>
        <v>Jun</v>
      </c>
      <c r="D58" t="s">
        <v>41</v>
      </c>
      <c r="E58" t="s">
        <v>46</v>
      </c>
      <c r="F58" t="s">
        <v>66</v>
      </c>
      <c r="G58" s="8">
        <v>817.82</v>
      </c>
      <c r="H58">
        <v>1</v>
      </c>
      <c r="I58" s="8">
        <v>817.82</v>
      </c>
      <c r="J58" s="8">
        <v>576.17999999999995</v>
      </c>
      <c r="K58" s="8">
        <v>241.64</v>
      </c>
      <c r="L58" t="s">
        <v>20</v>
      </c>
      <c r="M58" t="s">
        <v>21</v>
      </c>
      <c r="N58" t="s">
        <v>68</v>
      </c>
      <c r="O58">
        <v>28</v>
      </c>
      <c r="P58" t="s">
        <v>23</v>
      </c>
      <c r="Q58">
        <v>3</v>
      </c>
    </row>
    <row r="59" spans="1:17" x14ac:dyDescent="0.25">
      <c r="A59" t="s">
        <v>111</v>
      </c>
      <c r="B59" s="1">
        <v>45311</v>
      </c>
      <c r="C59" s="1" t="str">
        <f t="shared" si="0"/>
        <v>Jan</v>
      </c>
      <c r="D59" t="s">
        <v>45</v>
      </c>
      <c r="E59" t="s">
        <v>18</v>
      </c>
      <c r="F59" t="s">
        <v>64</v>
      </c>
      <c r="G59" s="8">
        <v>388.02</v>
      </c>
      <c r="H59">
        <v>5</v>
      </c>
      <c r="I59" s="8">
        <v>1940.1</v>
      </c>
      <c r="J59" s="8">
        <v>1388.47</v>
      </c>
      <c r="K59" s="8">
        <v>551.63</v>
      </c>
      <c r="L59" t="s">
        <v>34</v>
      </c>
      <c r="M59" t="s">
        <v>35</v>
      </c>
      <c r="N59" t="s">
        <v>22</v>
      </c>
      <c r="O59">
        <v>54</v>
      </c>
      <c r="P59" t="s">
        <v>23</v>
      </c>
      <c r="Q59">
        <v>1</v>
      </c>
    </row>
    <row r="60" spans="1:17" x14ac:dyDescent="0.25">
      <c r="A60" t="s">
        <v>112</v>
      </c>
      <c r="B60" s="1">
        <v>45416</v>
      </c>
      <c r="C60" s="1" t="str">
        <f t="shared" si="0"/>
        <v>May</v>
      </c>
      <c r="D60" t="s">
        <v>41</v>
      </c>
      <c r="E60" t="s">
        <v>46</v>
      </c>
      <c r="F60" t="s">
        <v>66</v>
      </c>
      <c r="G60" s="8">
        <v>829.24</v>
      </c>
      <c r="H60">
        <v>5</v>
      </c>
      <c r="I60" s="8">
        <v>4146.2</v>
      </c>
      <c r="J60" s="8">
        <v>3220.08</v>
      </c>
      <c r="K60" s="8">
        <v>926.12</v>
      </c>
      <c r="L60" t="s">
        <v>52</v>
      </c>
      <c r="M60" t="s">
        <v>28</v>
      </c>
      <c r="N60" t="s">
        <v>48</v>
      </c>
      <c r="O60">
        <v>37</v>
      </c>
      <c r="P60" t="s">
        <v>39</v>
      </c>
      <c r="Q60">
        <v>1</v>
      </c>
    </row>
    <row r="61" spans="1:17" x14ac:dyDescent="0.25">
      <c r="A61" t="s">
        <v>113</v>
      </c>
      <c r="B61" s="1">
        <v>45618</v>
      </c>
      <c r="C61" s="1" t="str">
        <f t="shared" si="0"/>
        <v>Nov</v>
      </c>
      <c r="D61" t="s">
        <v>17</v>
      </c>
      <c r="E61" t="s">
        <v>54</v>
      </c>
      <c r="F61" t="s">
        <v>55</v>
      </c>
      <c r="G61" s="8">
        <v>369.4</v>
      </c>
      <c r="H61">
        <v>5</v>
      </c>
      <c r="I61" s="8">
        <v>1847</v>
      </c>
      <c r="J61" s="8">
        <v>1279.3900000000001</v>
      </c>
      <c r="K61" s="8">
        <v>567.61</v>
      </c>
      <c r="L61" t="s">
        <v>52</v>
      </c>
      <c r="M61" t="s">
        <v>35</v>
      </c>
      <c r="N61" t="s">
        <v>36</v>
      </c>
      <c r="O61">
        <v>40</v>
      </c>
      <c r="P61" t="s">
        <v>23</v>
      </c>
      <c r="Q61">
        <v>7</v>
      </c>
    </row>
    <row r="62" spans="1:17" x14ac:dyDescent="0.25">
      <c r="A62" t="s">
        <v>114</v>
      </c>
      <c r="B62" s="1">
        <v>45460</v>
      </c>
      <c r="C62" s="1" t="str">
        <f t="shared" si="0"/>
        <v>Jun</v>
      </c>
      <c r="D62" t="s">
        <v>41</v>
      </c>
      <c r="E62" t="s">
        <v>46</v>
      </c>
      <c r="F62" t="s">
        <v>66</v>
      </c>
      <c r="G62" s="8">
        <v>833.76</v>
      </c>
      <c r="H62">
        <v>5</v>
      </c>
      <c r="I62" s="8">
        <v>4168.8</v>
      </c>
      <c r="J62" s="8">
        <v>2637.91</v>
      </c>
      <c r="K62" s="8">
        <v>1530.89</v>
      </c>
      <c r="L62" t="s">
        <v>20</v>
      </c>
      <c r="M62" t="s">
        <v>35</v>
      </c>
      <c r="N62" t="s">
        <v>36</v>
      </c>
      <c r="O62">
        <v>64</v>
      </c>
      <c r="P62" t="s">
        <v>39</v>
      </c>
      <c r="Q62">
        <v>9</v>
      </c>
    </row>
    <row r="63" spans="1:17" x14ac:dyDescent="0.25">
      <c r="A63" t="s">
        <v>115</v>
      </c>
      <c r="B63" s="1">
        <v>45335</v>
      </c>
      <c r="C63" s="1" t="str">
        <f t="shared" si="0"/>
        <v>Feb</v>
      </c>
      <c r="D63" t="s">
        <v>25</v>
      </c>
      <c r="E63" t="s">
        <v>72</v>
      </c>
      <c r="F63" t="s">
        <v>73</v>
      </c>
      <c r="G63" s="8">
        <v>106.14</v>
      </c>
      <c r="H63">
        <v>4</v>
      </c>
      <c r="I63" s="8">
        <v>424.56</v>
      </c>
      <c r="J63" s="8">
        <v>332.44</v>
      </c>
      <c r="K63" s="8">
        <v>92.12</v>
      </c>
      <c r="L63" t="s">
        <v>52</v>
      </c>
      <c r="M63" t="s">
        <v>35</v>
      </c>
      <c r="N63" t="s">
        <v>29</v>
      </c>
      <c r="O63">
        <v>25</v>
      </c>
      <c r="P63" t="s">
        <v>23</v>
      </c>
      <c r="Q63">
        <v>8</v>
      </c>
    </row>
    <row r="64" spans="1:17" x14ac:dyDescent="0.25">
      <c r="A64" t="s">
        <v>116</v>
      </c>
      <c r="B64" s="1">
        <v>45530</v>
      </c>
      <c r="C64" s="1" t="str">
        <f t="shared" si="0"/>
        <v>Aug</v>
      </c>
      <c r="D64" t="s">
        <v>31</v>
      </c>
      <c r="E64" t="s">
        <v>50</v>
      </c>
      <c r="F64" t="s">
        <v>51</v>
      </c>
      <c r="G64" s="8">
        <v>1515.02</v>
      </c>
      <c r="H64">
        <v>4</v>
      </c>
      <c r="I64" s="8">
        <v>6060.08</v>
      </c>
      <c r="J64" s="8">
        <v>4393.66</v>
      </c>
      <c r="K64" s="8">
        <v>1666.42</v>
      </c>
      <c r="L64" t="s">
        <v>20</v>
      </c>
      <c r="M64" t="s">
        <v>21</v>
      </c>
      <c r="N64" t="s">
        <v>43</v>
      </c>
      <c r="O64">
        <v>58</v>
      </c>
      <c r="P64" t="s">
        <v>39</v>
      </c>
      <c r="Q64">
        <v>5</v>
      </c>
    </row>
    <row r="65" spans="1:17" x14ac:dyDescent="0.25">
      <c r="A65" t="s">
        <v>117</v>
      </c>
      <c r="B65" s="1">
        <v>45404</v>
      </c>
      <c r="C65" s="1" t="str">
        <f t="shared" si="0"/>
        <v>Apr</v>
      </c>
      <c r="D65" t="s">
        <v>25</v>
      </c>
      <c r="E65" t="s">
        <v>26</v>
      </c>
      <c r="F65" t="s">
        <v>27</v>
      </c>
      <c r="G65" s="8">
        <v>81.900000000000006</v>
      </c>
      <c r="H65">
        <v>5</v>
      </c>
      <c r="I65" s="8">
        <v>409.5</v>
      </c>
      <c r="J65" s="8">
        <v>247.7</v>
      </c>
      <c r="K65" s="8">
        <v>161.80000000000001</v>
      </c>
      <c r="L65" t="s">
        <v>38</v>
      </c>
      <c r="M65" t="s">
        <v>21</v>
      </c>
      <c r="N65" t="s">
        <v>36</v>
      </c>
      <c r="O65">
        <v>48</v>
      </c>
      <c r="P65" t="s">
        <v>39</v>
      </c>
      <c r="Q65">
        <v>10</v>
      </c>
    </row>
    <row r="66" spans="1:17" x14ac:dyDescent="0.25">
      <c r="A66" t="s">
        <v>118</v>
      </c>
      <c r="B66" s="1">
        <v>45412</v>
      </c>
      <c r="C66" s="1" t="str">
        <f t="shared" si="0"/>
        <v>Apr</v>
      </c>
      <c r="D66" t="s">
        <v>41</v>
      </c>
      <c r="E66" t="s">
        <v>18</v>
      </c>
      <c r="F66" t="s">
        <v>42</v>
      </c>
      <c r="G66" s="8">
        <v>807.61</v>
      </c>
      <c r="H66">
        <v>5</v>
      </c>
      <c r="I66" s="8">
        <v>4038.05</v>
      </c>
      <c r="J66" s="8">
        <v>2554.9699999999998</v>
      </c>
      <c r="K66" s="8">
        <v>1483.08</v>
      </c>
      <c r="L66" t="s">
        <v>52</v>
      </c>
      <c r="M66" t="s">
        <v>35</v>
      </c>
      <c r="N66" t="s">
        <v>43</v>
      </c>
      <c r="O66">
        <v>62</v>
      </c>
      <c r="P66" t="s">
        <v>23</v>
      </c>
      <c r="Q66">
        <v>8</v>
      </c>
    </row>
    <row r="67" spans="1:17" x14ac:dyDescent="0.25">
      <c r="A67" t="s">
        <v>119</v>
      </c>
      <c r="B67" s="1">
        <v>45347</v>
      </c>
      <c r="C67" s="1" t="str">
        <f t="shared" ref="C67:C130" si="1">TEXT(B67,"mmm")</f>
        <v>Feb</v>
      </c>
      <c r="D67" t="s">
        <v>45</v>
      </c>
      <c r="E67" t="s">
        <v>18</v>
      </c>
      <c r="F67" t="s">
        <v>64</v>
      </c>
      <c r="G67" s="8">
        <v>438.29</v>
      </c>
      <c r="H67">
        <v>5</v>
      </c>
      <c r="I67" s="8">
        <v>2191.4499999999998</v>
      </c>
      <c r="J67" s="8">
        <v>1517.56</v>
      </c>
      <c r="K67" s="8">
        <v>673.89</v>
      </c>
      <c r="L67" t="s">
        <v>38</v>
      </c>
      <c r="M67" t="s">
        <v>28</v>
      </c>
      <c r="N67" t="s">
        <v>36</v>
      </c>
      <c r="O67">
        <v>43</v>
      </c>
      <c r="P67" t="s">
        <v>39</v>
      </c>
      <c r="Q67">
        <v>3</v>
      </c>
    </row>
    <row r="68" spans="1:17" x14ac:dyDescent="0.25">
      <c r="A68" t="s">
        <v>120</v>
      </c>
      <c r="B68" s="1">
        <v>45534</v>
      </c>
      <c r="C68" s="1" t="str">
        <f t="shared" si="1"/>
        <v>Aug</v>
      </c>
      <c r="D68" t="s">
        <v>17</v>
      </c>
      <c r="E68" t="s">
        <v>18</v>
      </c>
      <c r="F68" t="s">
        <v>19</v>
      </c>
      <c r="G68" s="8">
        <v>380.6</v>
      </c>
      <c r="H68">
        <v>2</v>
      </c>
      <c r="I68" s="8">
        <v>761.2</v>
      </c>
      <c r="J68" s="8">
        <v>419.48</v>
      </c>
      <c r="K68" s="8">
        <v>341.72</v>
      </c>
      <c r="L68" t="s">
        <v>34</v>
      </c>
      <c r="M68" t="s">
        <v>21</v>
      </c>
      <c r="N68" t="s">
        <v>68</v>
      </c>
      <c r="O68">
        <v>38</v>
      </c>
      <c r="P68" t="s">
        <v>39</v>
      </c>
      <c r="Q68">
        <v>7</v>
      </c>
    </row>
    <row r="69" spans="1:17" x14ac:dyDescent="0.25">
      <c r="A69" t="s">
        <v>121</v>
      </c>
      <c r="B69" s="1">
        <v>45800</v>
      </c>
      <c r="C69" s="1" t="str">
        <f t="shared" si="1"/>
        <v>May</v>
      </c>
      <c r="D69" t="s">
        <v>25</v>
      </c>
      <c r="E69" t="s">
        <v>26</v>
      </c>
      <c r="F69" t="s">
        <v>27</v>
      </c>
      <c r="G69" s="8">
        <v>104.45</v>
      </c>
      <c r="H69">
        <v>4</v>
      </c>
      <c r="I69" s="8">
        <v>417.8</v>
      </c>
      <c r="J69" s="8">
        <v>316.14999999999998</v>
      </c>
      <c r="K69" s="8">
        <v>101.65</v>
      </c>
      <c r="L69" t="s">
        <v>34</v>
      </c>
      <c r="M69" t="s">
        <v>28</v>
      </c>
      <c r="N69" t="s">
        <v>68</v>
      </c>
      <c r="O69">
        <v>62</v>
      </c>
      <c r="P69" t="s">
        <v>23</v>
      </c>
      <c r="Q69">
        <v>3</v>
      </c>
    </row>
    <row r="70" spans="1:17" x14ac:dyDescent="0.25">
      <c r="A70" t="s">
        <v>122</v>
      </c>
      <c r="B70" s="1">
        <v>45425</v>
      </c>
      <c r="C70" s="1" t="str">
        <f t="shared" si="1"/>
        <v>May</v>
      </c>
      <c r="D70" t="s">
        <v>45</v>
      </c>
      <c r="E70" t="s">
        <v>46</v>
      </c>
      <c r="F70" t="s">
        <v>47</v>
      </c>
      <c r="G70" s="8">
        <v>408</v>
      </c>
      <c r="H70">
        <v>1</v>
      </c>
      <c r="I70" s="8">
        <v>408</v>
      </c>
      <c r="J70" s="8">
        <v>242.52</v>
      </c>
      <c r="K70" s="8">
        <v>165.48</v>
      </c>
      <c r="L70" t="s">
        <v>38</v>
      </c>
      <c r="M70" t="s">
        <v>21</v>
      </c>
      <c r="N70" t="s">
        <v>22</v>
      </c>
      <c r="O70">
        <v>21</v>
      </c>
      <c r="P70" t="s">
        <v>39</v>
      </c>
      <c r="Q70">
        <v>10</v>
      </c>
    </row>
    <row r="71" spans="1:17" x14ac:dyDescent="0.25">
      <c r="A71" t="s">
        <v>123</v>
      </c>
      <c r="B71" s="1">
        <v>45580</v>
      </c>
      <c r="C71" s="1" t="str">
        <f t="shared" si="1"/>
        <v>Oct</v>
      </c>
      <c r="D71" t="s">
        <v>17</v>
      </c>
      <c r="E71" t="s">
        <v>18</v>
      </c>
      <c r="F71" t="s">
        <v>19</v>
      </c>
      <c r="G71" s="8">
        <v>372.46</v>
      </c>
      <c r="H71">
        <v>2</v>
      </c>
      <c r="I71" s="8">
        <v>744.92</v>
      </c>
      <c r="J71" s="8">
        <v>434.38</v>
      </c>
      <c r="K71" s="8">
        <v>310.54000000000002</v>
      </c>
      <c r="L71" t="s">
        <v>34</v>
      </c>
      <c r="M71" t="s">
        <v>21</v>
      </c>
      <c r="N71" t="s">
        <v>43</v>
      </c>
      <c r="O71">
        <v>44</v>
      </c>
      <c r="P71" t="s">
        <v>39</v>
      </c>
      <c r="Q71">
        <v>8</v>
      </c>
    </row>
    <row r="72" spans="1:17" x14ac:dyDescent="0.25">
      <c r="A72" t="s">
        <v>124</v>
      </c>
      <c r="B72" s="1">
        <v>45770</v>
      </c>
      <c r="C72" s="1" t="str">
        <f t="shared" si="1"/>
        <v>Apr</v>
      </c>
      <c r="D72" t="s">
        <v>17</v>
      </c>
      <c r="E72" t="s">
        <v>54</v>
      </c>
      <c r="F72" t="s">
        <v>55</v>
      </c>
      <c r="G72" s="8">
        <v>386.47</v>
      </c>
      <c r="H72">
        <v>5</v>
      </c>
      <c r="I72" s="8">
        <v>1932.35</v>
      </c>
      <c r="J72" s="8">
        <v>1344.36</v>
      </c>
      <c r="K72" s="8">
        <v>587.99</v>
      </c>
      <c r="L72" t="s">
        <v>34</v>
      </c>
      <c r="M72" t="s">
        <v>21</v>
      </c>
      <c r="N72" t="s">
        <v>48</v>
      </c>
      <c r="O72">
        <v>23</v>
      </c>
      <c r="P72" t="s">
        <v>39</v>
      </c>
      <c r="Q72">
        <v>2</v>
      </c>
    </row>
    <row r="73" spans="1:17" x14ac:dyDescent="0.25">
      <c r="A73" t="s">
        <v>125</v>
      </c>
      <c r="B73" s="1">
        <v>45446</v>
      </c>
      <c r="C73" s="1" t="str">
        <f t="shared" si="1"/>
        <v>Jun</v>
      </c>
      <c r="D73" t="s">
        <v>45</v>
      </c>
      <c r="E73" t="s">
        <v>46</v>
      </c>
      <c r="F73" t="s">
        <v>47</v>
      </c>
      <c r="G73" s="8">
        <v>406.28</v>
      </c>
      <c r="H73">
        <v>4</v>
      </c>
      <c r="I73" s="8">
        <v>1625.12</v>
      </c>
      <c r="J73" s="8">
        <v>1018.17</v>
      </c>
      <c r="K73" s="8">
        <v>606.95000000000005</v>
      </c>
      <c r="L73" t="s">
        <v>52</v>
      </c>
      <c r="M73" t="s">
        <v>35</v>
      </c>
      <c r="N73" t="s">
        <v>22</v>
      </c>
      <c r="O73">
        <v>32</v>
      </c>
      <c r="P73" t="s">
        <v>39</v>
      </c>
      <c r="Q73">
        <v>4</v>
      </c>
    </row>
    <row r="74" spans="1:17" x14ac:dyDescent="0.25">
      <c r="A74" t="s">
        <v>126</v>
      </c>
      <c r="B74" s="1">
        <v>45541</v>
      </c>
      <c r="C74" s="1" t="str">
        <f t="shared" si="1"/>
        <v>Sep</v>
      </c>
      <c r="D74" t="s">
        <v>31</v>
      </c>
      <c r="E74" t="s">
        <v>50</v>
      </c>
      <c r="F74" t="s">
        <v>51</v>
      </c>
      <c r="G74" s="8">
        <v>1477.8</v>
      </c>
      <c r="H74">
        <v>3</v>
      </c>
      <c r="I74" s="8">
        <v>4433.3999999999996</v>
      </c>
      <c r="J74" s="8">
        <v>2897.03</v>
      </c>
      <c r="K74" s="8">
        <v>1536.37</v>
      </c>
      <c r="L74" t="s">
        <v>52</v>
      </c>
      <c r="M74" t="s">
        <v>21</v>
      </c>
      <c r="N74" t="s">
        <v>36</v>
      </c>
      <c r="O74">
        <v>67</v>
      </c>
      <c r="P74" t="s">
        <v>39</v>
      </c>
      <c r="Q74">
        <v>3</v>
      </c>
    </row>
    <row r="75" spans="1:17" x14ac:dyDescent="0.25">
      <c r="A75" t="s">
        <v>127</v>
      </c>
      <c r="B75" s="1">
        <v>45864</v>
      </c>
      <c r="C75" s="1" t="str">
        <f t="shared" si="1"/>
        <v>Jul</v>
      </c>
      <c r="D75" t="s">
        <v>25</v>
      </c>
      <c r="E75" t="s">
        <v>72</v>
      </c>
      <c r="F75" t="s">
        <v>73</v>
      </c>
      <c r="G75" s="8">
        <v>61.58</v>
      </c>
      <c r="H75">
        <v>4</v>
      </c>
      <c r="I75" s="8">
        <v>246.32</v>
      </c>
      <c r="J75" s="8">
        <v>171.9</v>
      </c>
      <c r="K75" s="8">
        <v>74.42</v>
      </c>
      <c r="L75" t="s">
        <v>38</v>
      </c>
      <c r="M75" t="s">
        <v>21</v>
      </c>
      <c r="N75" t="s">
        <v>43</v>
      </c>
      <c r="O75">
        <v>23</v>
      </c>
      <c r="P75" t="s">
        <v>39</v>
      </c>
      <c r="Q75">
        <v>8</v>
      </c>
    </row>
    <row r="76" spans="1:17" x14ac:dyDescent="0.25">
      <c r="A76" t="s">
        <v>128</v>
      </c>
      <c r="B76" s="1">
        <v>45829</v>
      </c>
      <c r="C76" s="1" t="str">
        <f t="shared" si="1"/>
        <v>Jun</v>
      </c>
      <c r="D76" t="s">
        <v>17</v>
      </c>
      <c r="E76" t="s">
        <v>54</v>
      </c>
      <c r="F76" t="s">
        <v>55</v>
      </c>
      <c r="G76" s="8">
        <v>377.37</v>
      </c>
      <c r="H76">
        <v>4</v>
      </c>
      <c r="I76" s="8">
        <v>1509.48</v>
      </c>
      <c r="J76" s="8">
        <v>963.24</v>
      </c>
      <c r="K76" s="8">
        <v>546.24</v>
      </c>
      <c r="L76" t="s">
        <v>38</v>
      </c>
      <c r="M76" t="s">
        <v>28</v>
      </c>
      <c r="N76" t="s">
        <v>48</v>
      </c>
      <c r="O76">
        <v>65</v>
      </c>
      <c r="P76" t="s">
        <v>39</v>
      </c>
      <c r="Q76">
        <v>10</v>
      </c>
    </row>
    <row r="77" spans="1:17" x14ac:dyDescent="0.25">
      <c r="A77" t="s">
        <v>129</v>
      </c>
      <c r="B77" s="1">
        <v>45834</v>
      </c>
      <c r="C77" s="1" t="str">
        <f t="shared" si="1"/>
        <v>Jun</v>
      </c>
      <c r="D77" t="s">
        <v>41</v>
      </c>
      <c r="E77" t="s">
        <v>18</v>
      </c>
      <c r="F77" t="s">
        <v>42</v>
      </c>
      <c r="G77" s="8">
        <v>806.32</v>
      </c>
      <c r="H77">
        <v>4</v>
      </c>
      <c r="I77" s="8">
        <v>3225.28</v>
      </c>
      <c r="J77" s="8">
        <v>2476.88</v>
      </c>
      <c r="K77" s="8">
        <v>748.4</v>
      </c>
      <c r="L77" t="s">
        <v>38</v>
      </c>
      <c r="M77" t="s">
        <v>35</v>
      </c>
      <c r="N77" t="s">
        <v>22</v>
      </c>
      <c r="O77">
        <v>66</v>
      </c>
      <c r="P77" t="s">
        <v>39</v>
      </c>
      <c r="Q77">
        <v>8</v>
      </c>
    </row>
    <row r="78" spans="1:17" x14ac:dyDescent="0.25">
      <c r="A78" t="s">
        <v>130</v>
      </c>
      <c r="B78" s="1">
        <v>45605</v>
      </c>
      <c r="C78" s="1" t="str">
        <f t="shared" si="1"/>
        <v>Nov</v>
      </c>
      <c r="D78" t="s">
        <v>31</v>
      </c>
      <c r="E78" t="s">
        <v>50</v>
      </c>
      <c r="F78" t="s">
        <v>51</v>
      </c>
      <c r="G78" s="8">
        <v>1478.01</v>
      </c>
      <c r="H78">
        <v>2</v>
      </c>
      <c r="I78" s="8">
        <v>2956.02</v>
      </c>
      <c r="J78" s="8">
        <v>2161.29</v>
      </c>
      <c r="K78" s="8">
        <v>794.73</v>
      </c>
      <c r="L78" t="s">
        <v>52</v>
      </c>
      <c r="M78" t="s">
        <v>21</v>
      </c>
      <c r="N78" t="s">
        <v>48</v>
      </c>
      <c r="O78">
        <v>46</v>
      </c>
      <c r="P78" t="s">
        <v>39</v>
      </c>
      <c r="Q78">
        <v>9</v>
      </c>
    </row>
    <row r="79" spans="1:17" x14ac:dyDescent="0.25">
      <c r="A79" t="s">
        <v>131</v>
      </c>
      <c r="B79" s="1">
        <v>45345</v>
      </c>
      <c r="C79" s="1" t="str">
        <f t="shared" si="1"/>
        <v>Feb</v>
      </c>
      <c r="D79" t="s">
        <v>31</v>
      </c>
      <c r="E79" t="s">
        <v>18</v>
      </c>
      <c r="F79" t="s">
        <v>58</v>
      </c>
      <c r="G79" s="8">
        <v>1504.3</v>
      </c>
      <c r="H79">
        <v>3</v>
      </c>
      <c r="I79" s="8">
        <v>4512.8999999999996</v>
      </c>
      <c r="J79" s="8">
        <v>3092.99</v>
      </c>
      <c r="K79" s="8">
        <v>1419.91</v>
      </c>
      <c r="L79" t="s">
        <v>34</v>
      </c>
      <c r="M79" t="s">
        <v>35</v>
      </c>
      <c r="N79" t="s">
        <v>29</v>
      </c>
      <c r="O79">
        <v>35</v>
      </c>
      <c r="P79" t="s">
        <v>23</v>
      </c>
      <c r="Q79">
        <v>6</v>
      </c>
    </row>
    <row r="80" spans="1:17" x14ac:dyDescent="0.25">
      <c r="A80" t="s">
        <v>132</v>
      </c>
      <c r="B80" s="1">
        <v>45803</v>
      </c>
      <c r="C80" s="1" t="str">
        <f t="shared" si="1"/>
        <v>May</v>
      </c>
      <c r="D80" t="s">
        <v>45</v>
      </c>
      <c r="E80" t="s">
        <v>46</v>
      </c>
      <c r="F80" t="s">
        <v>47</v>
      </c>
      <c r="G80" s="8">
        <v>428.05</v>
      </c>
      <c r="H80">
        <v>1</v>
      </c>
      <c r="I80" s="8">
        <v>428.05</v>
      </c>
      <c r="J80" s="8">
        <v>282.74</v>
      </c>
      <c r="K80" s="8">
        <v>145.31</v>
      </c>
      <c r="L80" t="s">
        <v>38</v>
      </c>
      <c r="M80" t="s">
        <v>28</v>
      </c>
      <c r="N80" t="s">
        <v>36</v>
      </c>
      <c r="O80">
        <v>48</v>
      </c>
      <c r="P80" t="s">
        <v>23</v>
      </c>
      <c r="Q80">
        <v>9</v>
      </c>
    </row>
    <row r="81" spans="1:17" x14ac:dyDescent="0.25">
      <c r="A81" t="s">
        <v>133</v>
      </c>
      <c r="B81" s="1">
        <v>45421</v>
      </c>
      <c r="C81" s="1" t="str">
        <f t="shared" si="1"/>
        <v>May</v>
      </c>
      <c r="D81" t="s">
        <v>41</v>
      </c>
      <c r="E81" t="s">
        <v>46</v>
      </c>
      <c r="F81" t="s">
        <v>66</v>
      </c>
      <c r="G81" s="8">
        <v>800.44</v>
      </c>
      <c r="H81">
        <v>2</v>
      </c>
      <c r="I81" s="8">
        <v>1600.88</v>
      </c>
      <c r="J81" s="8">
        <v>1086.6600000000001</v>
      </c>
      <c r="K81" s="8">
        <v>514.22</v>
      </c>
      <c r="L81" t="s">
        <v>34</v>
      </c>
      <c r="M81" t="s">
        <v>28</v>
      </c>
      <c r="N81" t="s">
        <v>43</v>
      </c>
      <c r="O81">
        <v>35</v>
      </c>
      <c r="P81" t="s">
        <v>23</v>
      </c>
      <c r="Q81">
        <v>3</v>
      </c>
    </row>
    <row r="82" spans="1:17" x14ac:dyDescent="0.25">
      <c r="A82" t="s">
        <v>134</v>
      </c>
      <c r="B82" s="1">
        <v>45535</v>
      </c>
      <c r="C82" s="1" t="str">
        <f t="shared" si="1"/>
        <v>Aug</v>
      </c>
      <c r="D82" t="s">
        <v>45</v>
      </c>
      <c r="E82" t="s">
        <v>46</v>
      </c>
      <c r="F82" t="s">
        <v>47</v>
      </c>
      <c r="G82" s="8">
        <v>434.49</v>
      </c>
      <c r="H82">
        <v>5</v>
      </c>
      <c r="I82" s="8">
        <v>2172.4499999999998</v>
      </c>
      <c r="J82" s="8">
        <v>1725.24</v>
      </c>
      <c r="K82" s="8">
        <v>447.21</v>
      </c>
      <c r="L82" t="s">
        <v>38</v>
      </c>
      <c r="M82" t="s">
        <v>28</v>
      </c>
      <c r="N82" t="s">
        <v>36</v>
      </c>
      <c r="O82">
        <v>51</v>
      </c>
      <c r="P82" t="s">
        <v>39</v>
      </c>
      <c r="Q82">
        <v>10</v>
      </c>
    </row>
    <row r="83" spans="1:17" x14ac:dyDescent="0.25">
      <c r="A83" t="s">
        <v>135</v>
      </c>
      <c r="B83" s="1">
        <v>45845</v>
      </c>
      <c r="C83" s="1" t="str">
        <f t="shared" si="1"/>
        <v>Jul</v>
      </c>
      <c r="D83" t="s">
        <v>31</v>
      </c>
      <c r="E83" t="s">
        <v>18</v>
      </c>
      <c r="F83" t="s">
        <v>58</v>
      </c>
      <c r="G83" s="8">
        <v>1498.97</v>
      </c>
      <c r="H83">
        <v>2</v>
      </c>
      <c r="I83" s="8">
        <v>2997.94</v>
      </c>
      <c r="J83" s="8">
        <v>2089.13</v>
      </c>
      <c r="K83" s="8">
        <v>908.81</v>
      </c>
      <c r="L83" t="s">
        <v>20</v>
      </c>
      <c r="M83" t="s">
        <v>35</v>
      </c>
      <c r="N83" t="s">
        <v>43</v>
      </c>
      <c r="O83">
        <v>29</v>
      </c>
      <c r="P83" t="s">
        <v>39</v>
      </c>
      <c r="Q83">
        <v>6</v>
      </c>
    </row>
    <row r="84" spans="1:17" x14ac:dyDescent="0.25">
      <c r="A84" t="s">
        <v>136</v>
      </c>
      <c r="B84" s="1">
        <v>45389</v>
      </c>
      <c r="C84" s="1" t="str">
        <f t="shared" si="1"/>
        <v>Apr</v>
      </c>
      <c r="D84" t="s">
        <v>25</v>
      </c>
      <c r="E84" t="s">
        <v>26</v>
      </c>
      <c r="F84" t="s">
        <v>27</v>
      </c>
      <c r="G84" s="8">
        <v>67.06</v>
      </c>
      <c r="H84">
        <v>5</v>
      </c>
      <c r="I84" s="8">
        <v>335.3</v>
      </c>
      <c r="J84" s="8">
        <v>241.33</v>
      </c>
      <c r="K84" s="8">
        <v>93.97</v>
      </c>
      <c r="L84" t="s">
        <v>20</v>
      </c>
      <c r="M84" t="s">
        <v>35</v>
      </c>
      <c r="N84" t="s">
        <v>68</v>
      </c>
      <c r="O84">
        <v>26</v>
      </c>
      <c r="P84" t="s">
        <v>39</v>
      </c>
      <c r="Q84">
        <v>7</v>
      </c>
    </row>
    <row r="85" spans="1:17" x14ac:dyDescent="0.25">
      <c r="A85" t="s">
        <v>137</v>
      </c>
      <c r="B85" s="1">
        <v>45633</v>
      </c>
      <c r="C85" s="1" t="str">
        <f t="shared" si="1"/>
        <v>Dec</v>
      </c>
      <c r="D85" t="s">
        <v>31</v>
      </c>
      <c r="E85" t="s">
        <v>32</v>
      </c>
      <c r="F85" t="s">
        <v>33</v>
      </c>
      <c r="G85" s="8">
        <v>1501.83</v>
      </c>
      <c r="H85">
        <v>1</v>
      </c>
      <c r="I85" s="8">
        <v>1501.83</v>
      </c>
      <c r="J85" s="8">
        <v>1149.83</v>
      </c>
      <c r="K85" s="8">
        <v>352</v>
      </c>
      <c r="L85" t="s">
        <v>34</v>
      </c>
      <c r="M85" t="s">
        <v>35</v>
      </c>
      <c r="N85" t="s">
        <v>48</v>
      </c>
      <c r="O85">
        <v>36</v>
      </c>
      <c r="P85" t="s">
        <v>39</v>
      </c>
      <c r="Q85">
        <v>5</v>
      </c>
    </row>
    <row r="86" spans="1:17" x14ac:dyDescent="0.25">
      <c r="A86" t="s">
        <v>138</v>
      </c>
      <c r="B86" s="1">
        <v>45860</v>
      </c>
      <c r="C86" s="1" t="str">
        <f t="shared" si="1"/>
        <v>Jul</v>
      </c>
      <c r="D86" t="s">
        <v>17</v>
      </c>
      <c r="E86" t="s">
        <v>54</v>
      </c>
      <c r="F86" t="s">
        <v>55</v>
      </c>
      <c r="G86" s="8">
        <v>421.02</v>
      </c>
      <c r="H86">
        <v>2</v>
      </c>
      <c r="I86" s="8">
        <v>842.04</v>
      </c>
      <c r="J86" s="8">
        <v>497.31</v>
      </c>
      <c r="K86" s="8">
        <v>344.73</v>
      </c>
      <c r="L86" t="s">
        <v>38</v>
      </c>
      <c r="M86" t="s">
        <v>35</v>
      </c>
      <c r="N86" t="s">
        <v>29</v>
      </c>
      <c r="O86">
        <v>56</v>
      </c>
      <c r="P86" t="s">
        <v>23</v>
      </c>
      <c r="Q86">
        <v>4</v>
      </c>
    </row>
    <row r="87" spans="1:17" x14ac:dyDescent="0.25">
      <c r="A87" t="s">
        <v>139</v>
      </c>
      <c r="B87" s="1">
        <v>45330</v>
      </c>
      <c r="C87" s="1" t="str">
        <f t="shared" si="1"/>
        <v>Feb</v>
      </c>
      <c r="D87" t="s">
        <v>41</v>
      </c>
      <c r="E87" t="s">
        <v>46</v>
      </c>
      <c r="F87" t="s">
        <v>66</v>
      </c>
      <c r="G87" s="8">
        <v>794.39</v>
      </c>
      <c r="H87">
        <v>3</v>
      </c>
      <c r="I87" s="8">
        <v>2383.17</v>
      </c>
      <c r="J87" s="8">
        <v>1761.9</v>
      </c>
      <c r="K87" s="8">
        <v>621.27</v>
      </c>
      <c r="L87" t="s">
        <v>20</v>
      </c>
      <c r="M87" t="s">
        <v>21</v>
      </c>
      <c r="N87" t="s">
        <v>68</v>
      </c>
      <c r="O87">
        <v>38</v>
      </c>
      <c r="P87" t="s">
        <v>39</v>
      </c>
      <c r="Q87">
        <v>9</v>
      </c>
    </row>
    <row r="88" spans="1:17" x14ac:dyDescent="0.25">
      <c r="A88" t="s">
        <v>140</v>
      </c>
      <c r="B88" s="1">
        <v>45817</v>
      </c>
      <c r="C88" s="1" t="str">
        <f t="shared" si="1"/>
        <v>Jun</v>
      </c>
      <c r="D88" t="s">
        <v>41</v>
      </c>
      <c r="E88" t="s">
        <v>46</v>
      </c>
      <c r="F88" t="s">
        <v>66</v>
      </c>
      <c r="G88" s="8">
        <v>775.26</v>
      </c>
      <c r="H88">
        <v>3</v>
      </c>
      <c r="I88" s="8">
        <v>2325.7800000000002</v>
      </c>
      <c r="J88" s="8">
        <v>1627.15</v>
      </c>
      <c r="K88" s="8">
        <v>698.63</v>
      </c>
      <c r="L88" t="s">
        <v>34</v>
      </c>
      <c r="M88" t="s">
        <v>21</v>
      </c>
      <c r="N88" t="s">
        <v>29</v>
      </c>
      <c r="O88">
        <v>63</v>
      </c>
      <c r="P88" t="s">
        <v>23</v>
      </c>
      <c r="Q88">
        <v>1</v>
      </c>
    </row>
    <row r="89" spans="1:17" x14ac:dyDescent="0.25">
      <c r="A89" t="s">
        <v>141</v>
      </c>
      <c r="B89" s="1">
        <v>45688</v>
      </c>
      <c r="C89" s="1" t="str">
        <f t="shared" si="1"/>
        <v>Jan</v>
      </c>
      <c r="D89" t="s">
        <v>25</v>
      </c>
      <c r="E89" t="s">
        <v>72</v>
      </c>
      <c r="F89" t="s">
        <v>73</v>
      </c>
      <c r="G89" s="8">
        <v>61.96</v>
      </c>
      <c r="H89">
        <v>2</v>
      </c>
      <c r="I89" s="8">
        <v>123.92</v>
      </c>
      <c r="J89" s="8">
        <v>87.02</v>
      </c>
      <c r="K89" s="8">
        <v>36.9</v>
      </c>
      <c r="L89" t="s">
        <v>34</v>
      </c>
      <c r="M89" t="s">
        <v>21</v>
      </c>
      <c r="N89" t="s">
        <v>22</v>
      </c>
      <c r="O89">
        <v>57</v>
      </c>
      <c r="P89" t="s">
        <v>39</v>
      </c>
      <c r="Q89">
        <v>3</v>
      </c>
    </row>
    <row r="90" spans="1:17" x14ac:dyDescent="0.25">
      <c r="A90" t="s">
        <v>142</v>
      </c>
      <c r="B90" s="1">
        <v>45726</v>
      </c>
      <c r="C90" s="1" t="str">
        <f t="shared" si="1"/>
        <v>Mar</v>
      </c>
      <c r="D90" t="s">
        <v>25</v>
      </c>
      <c r="E90" t="s">
        <v>26</v>
      </c>
      <c r="F90" t="s">
        <v>27</v>
      </c>
      <c r="G90" s="8">
        <v>100.69</v>
      </c>
      <c r="H90">
        <v>2</v>
      </c>
      <c r="I90" s="8">
        <v>201.38</v>
      </c>
      <c r="J90" s="8">
        <v>152.47999999999999</v>
      </c>
      <c r="K90" s="8">
        <v>48.9</v>
      </c>
      <c r="L90" t="s">
        <v>52</v>
      </c>
      <c r="M90" t="s">
        <v>21</v>
      </c>
      <c r="N90" t="s">
        <v>43</v>
      </c>
      <c r="O90">
        <v>54</v>
      </c>
      <c r="P90" t="s">
        <v>39</v>
      </c>
      <c r="Q90">
        <v>8</v>
      </c>
    </row>
    <row r="91" spans="1:17" x14ac:dyDescent="0.25">
      <c r="A91" t="s">
        <v>143</v>
      </c>
      <c r="B91" s="1">
        <v>45736</v>
      </c>
      <c r="C91" s="1" t="str">
        <f t="shared" si="1"/>
        <v>Mar</v>
      </c>
      <c r="D91" t="s">
        <v>31</v>
      </c>
      <c r="E91" t="s">
        <v>50</v>
      </c>
      <c r="F91" t="s">
        <v>51</v>
      </c>
      <c r="G91" s="8">
        <v>1514.43</v>
      </c>
      <c r="H91">
        <v>4</v>
      </c>
      <c r="I91" s="8">
        <v>6057.72</v>
      </c>
      <c r="J91" s="8">
        <v>3864.98</v>
      </c>
      <c r="K91" s="8">
        <v>2192.7399999999998</v>
      </c>
      <c r="L91" t="s">
        <v>20</v>
      </c>
      <c r="M91" t="s">
        <v>35</v>
      </c>
      <c r="N91" t="s">
        <v>36</v>
      </c>
      <c r="O91">
        <v>47</v>
      </c>
      <c r="P91" t="s">
        <v>23</v>
      </c>
      <c r="Q91">
        <v>9</v>
      </c>
    </row>
    <row r="92" spans="1:17" x14ac:dyDescent="0.25">
      <c r="A92" t="s">
        <v>144</v>
      </c>
      <c r="B92" s="1">
        <v>45854</v>
      </c>
      <c r="C92" s="1" t="str">
        <f t="shared" si="1"/>
        <v>Jul</v>
      </c>
      <c r="D92" t="s">
        <v>31</v>
      </c>
      <c r="E92" t="s">
        <v>32</v>
      </c>
      <c r="F92" t="s">
        <v>33</v>
      </c>
      <c r="G92" s="8">
        <v>1507.33</v>
      </c>
      <c r="H92">
        <v>1</v>
      </c>
      <c r="I92" s="8">
        <v>1507.33</v>
      </c>
      <c r="J92" s="8">
        <v>1096.8499999999999</v>
      </c>
      <c r="K92" s="8">
        <v>410.48</v>
      </c>
      <c r="L92" t="s">
        <v>34</v>
      </c>
      <c r="M92" t="s">
        <v>28</v>
      </c>
      <c r="N92" t="s">
        <v>43</v>
      </c>
      <c r="O92">
        <v>26</v>
      </c>
      <c r="P92" t="s">
        <v>39</v>
      </c>
      <c r="Q92">
        <v>4</v>
      </c>
    </row>
    <row r="93" spans="1:17" x14ac:dyDescent="0.25">
      <c r="A93" t="s">
        <v>145</v>
      </c>
      <c r="B93" s="1">
        <v>45524</v>
      </c>
      <c r="C93" s="1" t="str">
        <f t="shared" si="1"/>
        <v>Aug</v>
      </c>
      <c r="D93" t="s">
        <v>31</v>
      </c>
      <c r="E93" t="s">
        <v>18</v>
      </c>
      <c r="F93" t="s">
        <v>58</v>
      </c>
      <c r="G93" s="8">
        <v>1524.32</v>
      </c>
      <c r="H93">
        <v>4</v>
      </c>
      <c r="I93" s="8">
        <v>6097.28</v>
      </c>
      <c r="J93" s="8">
        <v>3449.72</v>
      </c>
      <c r="K93" s="8">
        <v>2647.56</v>
      </c>
      <c r="L93" t="s">
        <v>20</v>
      </c>
      <c r="M93" t="s">
        <v>35</v>
      </c>
      <c r="N93" t="s">
        <v>36</v>
      </c>
      <c r="O93">
        <v>46</v>
      </c>
      <c r="P93" t="s">
        <v>39</v>
      </c>
      <c r="Q93">
        <v>10</v>
      </c>
    </row>
    <row r="94" spans="1:17" x14ac:dyDescent="0.25">
      <c r="A94" t="s">
        <v>146</v>
      </c>
      <c r="B94" s="1">
        <v>45749</v>
      </c>
      <c r="C94" s="1" t="str">
        <f t="shared" si="1"/>
        <v>Apr</v>
      </c>
      <c r="D94" t="s">
        <v>25</v>
      </c>
      <c r="E94" t="s">
        <v>26</v>
      </c>
      <c r="F94" t="s">
        <v>27</v>
      </c>
      <c r="G94" s="8">
        <v>82.09</v>
      </c>
      <c r="H94">
        <v>5</v>
      </c>
      <c r="I94" s="8">
        <v>410.45</v>
      </c>
      <c r="J94" s="8">
        <v>310.17</v>
      </c>
      <c r="K94" s="8">
        <v>100.28</v>
      </c>
      <c r="L94" t="s">
        <v>52</v>
      </c>
      <c r="M94" t="s">
        <v>28</v>
      </c>
      <c r="N94" t="s">
        <v>48</v>
      </c>
      <c r="O94">
        <v>43</v>
      </c>
      <c r="P94" t="s">
        <v>23</v>
      </c>
      <c r="Q94">
        <v>5</v>
      </c>
    </row>
    <row r="95" spans="1:17" x14ac:dyDescent="0.25">
      <c r="A95" t="s">
        <v>147</v>
      </c>
      <c r="B95" s="1">
        <v>45424</v>
      </c>
      <c r="C95" s="1" t="str">
        <f t="shared" si="1"/>
        <v>May</v>
      </c>
      <c r="D95" t="s">
        <v>45</v>
      </c>
      <c r="E95" t="s">
        <v>46</v>
      </c>
      <c r="F95" t="s">
        <v>47</v>
      </c>
      <c r="G95" s="8">
        <v>405.47</v>
      </c>
      <c r="H95">
        <v>2</v>
      </c>
      <c r="I95" s="8">
        <v>810.94</v>
      </c>
      <c r="J95" s="8">
        <v>632.03</v>
      </c>
      <c r="K95" s="8">
        <v>178.91</v>
      </c>
      <c r="L95" t="s">
        <v>34</v>
      </c>
      <c r="M95" t="s">
        <v>28</v>
      </c>
      <c r="N95" t="s">
        <v>36</v>
      </c>
      <c r="O95">
        <v>62</v>
      </c>
      <c r="P95" t="s">
        <v>23</v>
      </c>
      <c r="Q95">
        <v>6</v>
      </c>
    </row>
    <row r="96" spans="1:17" x14ac:dyDescent="0.25">
      <c r="A96" t="s">
        <v>148</v>
      </c>
      <c r="B96" s="1">
        <v>45601</v>
      </c>
      <c r="C96" s="1" t="str">
        <f t="shared" si="1"/>
        <v>Nov</v>
      </c>
      <c r="D96" t="s">
        <v>45</v>
      </c>
      <c r="E96" t="s">
        <v>46</v>
      </c>
      <c r="F96" t="s">
        <v>47</v>
      </c>
      <c r="G96" s="8">
        <v>419.96</v>
      </c>
      <c r="H96">
        <v>4</v>
      </c>
      <c r="I96" s="8">
        <v>1679.84</v>
      </c>
      <c r="J96" s="8">
        <v>1339.94</v>
      </c>
      <c r="K96" s="8">
        <v>339.9</v>
      </c>
      <c r="L96" t="s">
        <v>38</v>
      </c>
      <c r="M96" t="s">
        <v>35</v>
      </c>
      <c r="N96" t="s">
        <v>43</v>
      </c>
      <c r="O96">
        <v>30</v>
      </c>
      <c r="P96" t="s">
        <v>23</v>
      </c>
      <c r="Q96">
        <v>10</v>
      </c>
    </row>
    <row r="97" spans="1:17" x14ac:dyDescent="0.25">
      <c r="A97" t="s">
        <v>149</v>
      </c>
      <c r="B97" s="1">
        <v>45453</v>
      </c>
      <c r="C97" s="1" t="str">
        <f t="shared" si="1"/>
        <v>Jun</v>
      </c>
      <c r="D97" t="s">
        <v>45</v>
      </c>
      <c r="E97" t="s">
        <v>46</v>
      </c>
      <c r="F97" t="s">
        <v>47</v>
      </c>
      <c r="G97" s="8">
        <v>389.77</v>
      </c>
      <c r="H97">
        <v>2</v>
      </c>
      <c r="I97" s="8">
        <v>779.54</v>
      </c>
      <c r="J97" s="8">
        <v>540.19000000000005</v>
      </c>
      <c r="K97" s="8">
        <v>239.35</v>
      </c>
      <c r="L97" t="s">
        <v>20</v>
      </c>
      <c r="M97" t="s">
        <v>21</v>
      </c>
      <c r="N97" t="s">
        <v>29</v>
      </c>
      <c r="O97">
        <v>18</v>
      </c>
      <c r="P97" t="s">
        <v>39</v>
      </c>
      <c r="Q97">
        <v>4</v>
      </c>
    </row>
    <row r="98" spans="1:17" x14ac:dyDescent="0.25">
      <c r="A98" t="s">
        <v>150</v>
      </c>
      <c r="B98" s="1">
        <v>45339</v>
      </c>
      <c r="C98" s="1" t="str">
        <f t="shared" si="1"/>
        <v>Feb</v>
      </c>
      <c r="D98" t="s">
        <v>25</v>
      </c>
      <c r="E98" t="s">
        <v>26</v>
      </c>
      <c r="F98" t="s">
        <v>27</v>
      </c>
      <c r="G98" s="8">
        <v>64.099999999999994</v>
      </c>
      <c r="H98">
        <v>4</v>
      </c>
      <c r="I98" s="8">
        <v>256.39999999999998</v>
      </c>
      <c r="J98" s="8">
        <v>157.9</v>
      </c>
      <c r="K98" s="8">
        <v>98.5</v>
      </c>
      <c r="L98" t="s">
        <v>38</v>
      </c>
      <c r="M98" t="s">
        <v>21</v>
      </c>
      <c r="N98" t="s">
        <v>22</v>
      </c>
      <c r="O98">
        <v>56</v>
      </c>
      <c r="P98" t="s">
        <v>23</v>
      </c>
      <c r="Q98">
        <v>6</v>
      </c>
    </row>
    <row r="99" spans="1:17" x14ac:dyDescent="0.25">
      <c r="A99" t="s">
        <v>151</v>
      </c>
      <c r="B99" s="1">
        <v>45754</v>
      </c>
      <c r="C99" s="1" t="str">
        <f t="shared" si="1"/>
        <v>Apr</v>
      </c>
      <c r="D99" t="s">
        <v>45</v>
      </c>
      <c r="E99" t="s">
        <v>46</v>
      </c>
      <c r="F99" t="s">
        <v>47</v>
      </c>
      <c r="G99" s="8">
        <v>371.55</v>
      </c>
      <c r="H99">
        <v>4</v>
      </c>
      <c r="I99" s="8">
        <v>1486.2</v>
      </c>
      <c r="J99" s="8">
        <v>980.83</v>
      </c>
      <c r="K99" s="8">
        <v>505.37</v>
      </c>
      <c r="L99" t="s">
        <v>20</v>
      </c>
      <c r="M99" t="s">
        <v>21</v>
      </c>
      <c r="N99" t="s">
        <v>48</v>
      </c>
      <c r="O99">
        <v>64</v>
      </c>
      <c r="P99" t="s">
        <v>39</v>
      </c>
      <c r="Q99">
        <v>1</v>
      </c>
    </row>
    <row r="100" spans="1:17" x14ac:dyDescent="0.25">
      <c r="A100" t="s">
        <v>152</v>
      </c>
      <c r="B100" s="1">
        <v>45742</v>
      </c>
      <c r="C100" s="1" t="str">
        <f t="shared" si="1"/>
        <v>Mar</v>
      </c>
      <c r="D100" t="s">
        <v>45</v>
      </c>
      <c r="E100" t="s">
        <v>46</v>
      </c>
      <c r="F100" t="s">
        <v>47</v>
      </c>
      <c r="G100" s="8">
        <v>422.44</v>
      </c>
      <c r="H100">
        <v>3</v>
      </c>
      <c r="I100" s="8">
        <v>1267.32</v>
      </c>
      <c r="J100" s="8">
        <v>934.63</v>
      </c>
      <c r="K100" s="8">
        <v>332.69</v>
      </c>
      <c r="L100" t="s">
        <v>52</v>
      </c>
      <c r="M100" t="s">
        <v>28</v>
      </c>
      <c r="N100" t="s">
        <v>29</v>
      </c>
      <c r="O100">
        <v>56</v>
      </c>
      <c r="P100" t="s">
        <v>23</v>
      </c>
      <c r="Q100">
        <v>6</v>
      </c>
    </row>
    <row r="101" spans="1:17" x14ac:dyDescent="0.25">
      <c r="A101" t="s">
        <v>153</v>
      </c>
      <c r="B101" s="1">
        <v>45703</v>
      </c>
      <c r="C101" s="1" t="str">
        <f t="shared" si="1"/>
        <v>Feb</v>
      </c>
      <c r="D101" t="s">
        <v>17</v>
      </c>
      <c r="E101" t="s">
        <v>54</v>
      </c>
      <c r="F101" t="s">
        <v>55</v>
      </c>
      <c r="G101" s="8">
        <v>401.46</v>
      </c>
      <c r="H101">
        <v>5</v>
      </c>
      <c r="I101" s="8">
        <v>2007.3</v>
      </c>
      <c r="J101" s="8">
        <v>1114.69</v>
      </c>
      <c r="K101" s="8">
        <v>892.61</v>
      </c>
      <c r="L101" t="s">
        <v>38</v>
      </c>
      <c r="M101" t="s">
        <v>28</v>
      </c>
      <c r="N101" t="s">
        <v>68</v>
      </c>
      <c r="O101">
        <v>41</v>
      </c>
      <c r="P101" t="s">
        <v>23</v>
      </c>
      <c r="Q101">
        <v>3</v>
      </c>
    </row>
    <row r="102" spans="1:17" x14ac:dyDescent="0.25">
      <c r="A102" t="s">
        <v>154</v>
      </c>
      <c r="B102" s="1">
        <v>45523</v>
      </c>
      <c r="C102" s="1" t="str">
        <f t="shared" si="1"/>
        <v>Aug</v>
      </c>
      <c r="D102" t="s">
        <v>31</v>
      </c>
      <c r="E102" t="s">
        <v>50</v>
      </c>
      <c r="F102" t="s">
        <v>51</v>
      </c>
      <c r="G102" s="8">
        <v>1451.27</v>
      </c>
      <c r="H102">
        <v>5</v>
      </c>
      <c r="I102" s="8">
        <v>7256.35</v>
      </c>
      <c r="J102" s="8">
        <v>4930.25</v>
      </c>
      <c r="K102" s="8">
        <v>2326.1</v>
      </c>
      <c r="L102" t="s">
        <v>52</v>
      </c>
      <c r="M102" t="s">
        <v>21</v>
      </c>
      <c r="N102" t="s">
        <v>22</v>
      </c>
      <c r="O102">
        <v>21</v>
      </c>
      <c r="P102" t="s">
        <v>23</v>
      </c>
      <c r="Q102">
        <v>10</v>
      </c>
    </row>
    <row r="103" spans="1:17" x14ac:dyDescent="0.25">
      <c r="A103" t="s">
        <v>155</v>
      </c>
      <c r="B103" s="1">
        <v>45825</v>
      </c>
      <c r="C103" s="1" t="str">
        <f t="shared" si="1"/>
        <v>Jun</v>
      </c>
      <c r="D103" t="s">
        <v>31</v>
      </c>
      <c r="E103" t="s">
        <v>50</v>
      </c>
      <c r="F103" t="s">
        <v>51</v>
      </c>
      <c r="G103" s="8">
        <v>1505.06</v>
      </c>
      <c r="H103">
        <v>5</v>
      </c>
      <c r="I103" s="8">
        <v>7525.3</v>
      </c>
      <c r="J103" s="8">
        <v>5089.79</v>
      </c>
      <c r="K103" s="8">
        <v>2435.5100000000002</v>
      </c>
      <c r="L103" t="s">
        <v>38</v>
      </c>
      <c r="M103" t="s">
        <v>28</v>
      </c>
      <c r="N103" t="s">
        <v>36</v>
      </c>
      <c r="O103">
        <v>51</v>
      </c>
      <c r="P103" t="s">
        <v>23</v>
      </c>
      <c r="Q103">
        <v>8</v>
      </c>
    </row>
    <row r="104" spans="1:17" x14ac:dyDescent="0.25">
      <c r="A104" t="s">
        <v>156</v>
      </c>
      <c r="B104" s="1">
        <v>45793</v>
      </c>
      <c r="C104" s="1" t="str">
        <f t="shared" si="1"/>
        <v>May</v>
      </c>
      <c r="D104" t="s">
        <v>45</v>
      </c>
      <c r="E104" t="s">
        <v>18</v>
      </c>
      <c r="F104" t="s">
        <v>64</v>
      </c>
      <c r="G104" s="8">
        <v>410.13</v>
      </c>
      <c r="H104">
        <v>4</v>
      </c>
      <c r="I104" s="8">
        <v>1640.52</v>
      </c>
      <c r="J104" s="8">
        <v>1288.53</v>
      </c>
      <c r="K104" s="8">
        <v>351.99</v>
      </c>
      <c r="L104" t="s">
        <v>52</v>
      </c>
      <c r="M104" t="s">
        <v>28</v>
      </c>
      <c r="N104" t="s">
        <v>36</v>
      </c>
      <c r="O104">
        <v>55</v>
      </c>
      <c r="P104" t="s">
        <v>23</v>
      </c>
      <c r="Q104">
        <v>9</v>
      </c>
    </row>
    <row r="105" spans="1:17" x14ac:dyDescent="0.25">
      <c r="A105" t="s">
        <v>157</v>
      </c>
      <c r="B105" s="1">
        <v>45709</v>
      </c>
      <c r="C105" s="1" t="str">
        <f t="shared" si="1"/>
        <v>Feb</v>
      </c>
      <c r="D105" t="s">
        <v>41</v>
      </c>
      <c r="E105" t="s">
        <v>46</v>
      </c>
      <c r="F105" t="s">
        <v>66</v>
      </c>
      <c r="G105" s="8">
        <v>823</v>
      </c>
      <c r="H105">
        <v>3</v>
      </c>
      <c r="I105" s="8">
        <v>2469</v>
      </c>
      <c r="J105" s="8">
        <v>1683.21</v>
      </c>
      <c r="K105" s="8">
        <v>785.79</v>
      </c>
      <c r="L105" t="s">
        <v>20</v>
      </c>
      <c r="M105" t="s">
        <v>21</v>
      </c>
      <c r="N105" t="s">
        <v>36</v>
      </c>
      <c r="O105">
        <v>49</v>
      </c>
      <c r="P105" t="s">
        <v>39</v>
      </c>
      <c r="Q105">
        <v>7</v>
      </c>
    </row>
    <row r="106" spans="1:17" x14ac:dyDescent="0.25">
      <c r="A106" t="s">
        <v>158</v>
      </c>
      <c r="B106" s="1">
        <v>45378</v>
      </c>
      <c r="C106" s="1" t="str">
        <f t="shared" si="1"/>
        <v>Mar</v>
      </c>
      <c r="D106" t="s">
        <v>25</v>
      </c>
      <c r="E106" t="s">
        <v>26</v>
      </c>
      <c r="F106" t="s">
        <v>27</v>
      </c>
      <c r="G106" s="8">
        <v>69.14</v>
      </c>
      <c r="H106">
        <v>2</v>
      </c>
      <c r="I106" s="8">
        <v>138.28</v>
      </c>
      <c r="J106" s="8">
        <v>86</v>
      </c>
      <c r="K106" s="8">
        <v>52.28</v>
      </c>
      <c r="L106" t="s">
        <v>38</v>
      </c>
      <c r="M106" t="s">
        <v>28</v>
      </c>
      <c r="N106" t="s">
        <v>48</v>
      </c>
      <c r="O106">
        <v>67</v>
      </c>
      <c r="P106" t="s">
        <v>23</v>
      </c>
      <c r="Q106">
        <v>3</v>
      </c>
    </row>
    <row r="107" spans="1:17" x14ac:dyDescent="0.25">
      <c r="A107" t="s">
        <v>159</v>
      </c>
      <c r="B107" s="1">
        <v>45507</v>
      </c>
      <c r="C107" s="1" t="str">
        <f t="shared" si="1"/>
        <v>Aug</v>
      </c>
      <c r="D107" t="s">
        <v>31</v>
      </c>
      <c r="E107" t="s">
        <v>18</v>
      </c>
      <c r="F107" t="s">
        <v>58</v>
      </c>
      <c r="G107" s="8">
        <v>1531.16</v>
      </c>
      <c r="H107">
        <v>2</v>
      </c>
      <c r="I107" s="8">
        <v>3062.32</v>
      </c>
      <c r="J107" s="8">
        <v>1752.21</v>
      </c>
      <c r="K107" s="8">
        <v>1310.1099999999999</v>
      </c>
      <c r="L107" t="s">
        <v>20</v>
      </c>
      <c r="M107" t="s">
        <v>21</v>
      </c>
      <c r="N107" t="s">
        <v>43</v>
      </c>
      <c r="O107">
        <v>44</v>
      </c>
      <c r="P107" t="s">
        <v>39</v>
      </c>
      <c r="Q107">
        <v>9</v>
      </c>
    </row>
    <row r="108" spans="1:17" x14ac:dyDescent="0.25">
      <c r="A108" t="s">
        <v>160</v>
      </c>
      <c r="B108" s="1">
        <v>45594</v>
      </c>
      <c r="C108" s="1" t="str">
        <f t="shared" si="1"/>
        <v>Oct</v>
      </c>
      <c r="D108" t="s">
        <v>17</v>
      </c>
      <c r="E108" t="s">
        <v>18</v>
      </c>
      <c r="F108" t="s">
        <v>19</v>
      </c>
      <c r="G108" s="8">
        <v>429.47</v>
      </c>
      <c r="H108">
        <v>2</v>
      </c>
      <c r="I108" s="8">
        <v>858.94</v>
      </c>
      <c r="J108" s="8">
        <v>621.6</v>
      </c>
      <c r="K108" s="8">
        <v>237.34</v>
      </c>
      <c r="L108" t="s">
        <v>52</v>
      </c>
      <c r="M108" t="s">
        <v>35</v>
      </c>
      <c r="N108" t="s">
        <v>22</v>
      </c>
      <c r="O108">
        <v>60</v>
      </c>
      <c r="P108" t="s">
        <v>23</v>
      </c>
      <c r="Q108">
        <v>3</v>
      </c>
    </row>
    <row r="109" spans="1:17" x14ac:dyDescent="0.25">
      <c r="A109" t="s">
        <v>161</v>
      </c>
      <c r="B109" s="1">
        <v>45341</v>
      </c>
      <c r="C109" s="1" t="str">
        <f t="shared" si="1"/>
        <v>Feb</v>
      </c>
      <c r="D109" t="s">
        <v>25</v>
      </c>
      <c r="E109" t="s">
        <v>26</v>
      </c>
      <c r="F109" t="s">
        <v>27</v>
      </c>
      <c r="G109" s="8">
        <v>65.69</v>
      </c>
      <c r="H109">
        <v>5</v>
      </c>
      <c r="I109" s="8">
        <v>328.45</v>
      </c>
      <c r="J109" s="8">
        <v>249.65</v>
      </c>
      <c r="K109" s="8">
        <v>78.8</v>
      </c>
      <c r="L109" t="s">
        <v>34</v>
      </c>
      <c r="M109" t="s">
        <v>28</v>
      </c>
      <c r="N109" t="s">
        <v>48</v>
      </c>
      <c r="O109">
        <v>55</v>
      </c>
      <c r="P109" t="s">
        <v>39</v>
      </c>
      <c r="Q109">
        <v>9</v>
      </c>
    </row>
    <row r="110" spans="1:17" x14ac:dyDescent="0.25">
      <c r="A110" t="s">
        <v>162</v>
      </c>
      <c r="B110" s="1">
        <v>45603</v>
      </c>
      <c r="C110" s="1" t="str">
        <f t="shared" si="1"/>
        <v>Nov</v>
      </c>
      <c r="D110" t="s">
        <v>31</v>
      </c>
      <c r="E110" t="s">
        <v>18</v>
      </c>
      <c r="F110" t="s">
        <v>58</v>
      </c>
      <c r="G110" s="8">
        <v>1501.15</v>
      </c>
      <c r="H110">
        <v>2</v>
      </c>
      <c r="I110" s="8">
        <v>3002.3</v>
      </c>
      <c r="J110" s="8">
        <v>2366.89</v>
      </c>
      <c r="K110" s="8">
        <v>635.41</v>
      </c>
      <c r="L110" t="s">
        <v>20</v>
      </c>
      <c r="M110" t="s">
        <v>21</v>
      </c>
      <c r="N110" t="s">
        <v>36</v>
      </c>
      <c r="O110">
        <v>30</v>
      </c>
      <c r="P110" t="s">
        <v>39</v>
      </c>
      <c r="Q110">
        <v>10</v>
      </c>
    </row>
    <row r="111" spans="1:17" x14ac:dyDescent="0.25">
      <c r="A111" t="s">
        <v>163</v>
      </c>
      <c r="B111" s="1">
        <v>45630</v>
      </c>
      <c r="C111" s="1" t="str">
        <f t="shared" si="1"/>
        <v>Dec</v>
      </c>
      <c r="D111" t="s">
        <v>45</v>
      </c>
      <c r="E111" t="s">
        <v>18</v>
      </c>
      <c r="F111" t="s">
        <v>64</v>
      </c>
      <c r="G111" s="8">
        <v>407.27</v>
      </c>
      <c r="H111">
        <v>2</v>
      </c>
      <c r="I111" s="8">
        <v>814.54</v>
      </c>
      <c r="J111" s="8">
        <v>599.58000000000004</v>
      </c>
      <c r="K111" s="8">
        <v>214.96</v>
      </c>
      <c r="L111" t="s">
        <v>38</v>
      </c>
      <c r="M111" t="s">
        <v>21</v>
      </c>
      <c r="N111" t="s">
        <v>43</v>
      </c>
      <c r="O111">
        <v>42</v>
      </c>
      <c r="P111" t="s">
        <v>39</v>
      </c>
      <c r="Q111">
        <v>3</v>
      </c>
    </row>
    <row r="112" spans="1:17" x14ac:dyDescent="0.25">
      <c r="A112" t="s">
        <v>164</v>
      </c>
      <c r="B112" s="1">
        <v>45720</v>
      </c>
      <c r="C112" s="1" t="str">
        <f t="shared" si="1"/>
        <v>Mar</v>
      </c>
      <c r="D112" t="s">
        <v>45</v>
      </c>
      <c r="E112" t="s">
        <v>46</v>
      </c>
      <c r="F112" t="s">
        <v>47</v>
      </c>
      <c r="G112" s="8">
        <v>417.85</v>
      </c>
      <c r="H112">
        <v>5</v>
      </c>
      <c r="I112" s="8">
        <v>2089.25</v>
      </c>
      <c r="J112" s="8">
        <v>1549.38</v>
      </c>
      <c r="K112" s="8">
        <v>539.87</v>
      </c>
      <c r="L112" t="s">
        <v>52</v>
      </c>
      <c r="M112" t="s">
        <v>28</v>
      </c>
      <c r="N112" t="s">
        <v>43</v>
      </c>
      <c r="O112">
        <v>49</v>
      </c>
      <c r="P112" t="s">
        <v>23</v>
      </c>
      <c r="Q112">
        <v>8</v>
      </c>
    </row>
    <row r="113" spans="1:17" x14ac:dyDescent="0.25">
      <c r="A113" t="s">
        <v>165</v>
      </c>
      <c r="B113" s="1">
        <v>45612</v>
      </c>
      <c r="C113" s="1" t="str">
        <f t="shared" si="1"/>
        <v>Nov</v>
      </c>
      <c r="D113" t="s">
        <v>41</v>
      </c>
      <c r="E113" t="s">
        <v>46</v>
      </c>
      <c r="F113" t="s">
        <v>66</v>
      </c>
      <c r="G113" s="8">
        <v>806.16</v>
      </c>
      <c r="H113">
        <v>5</v>
      </c>
      <c r="I113" s="8">
        <v>4030.8</v>
      </c>
      <c r="J113" s="8">
        <v>3016.54</v>
      </c>
      <c r="K113" s="8">
        <v>1014.26</v>
      </c>
      <c r="L113" t="s">
        <v>34</v>
      </c>
      <c r="M113" t="s">
        <v>28</v>
      </c>
      <c r="N113" t="s">
        <v>68</v>
      </c>
      <c r="O113">
        <v>66</v>
      </c>
      <c r="P113" t="s">
        <v>39</v>
      </c>
      <c r="Q113">
        <v>1</v>
      </c>
    </row>
    <row r="114" spans="1:17" x14ac:dyDescent="0.25">
      <c r="A114" t="s">
        <v>166</v>
      </c>
      <c r="B114" s="1">
        <v>45327</v>
      </c>
      <c r="C114" s="1" t="str">
        <f t="shared" si="1"/>
        <v>Feb</v>
      </c>
      <c r="D114" t="s">
        <v>41</v>
      </c>
      <c r="E114" t="s">
        <v>46</v>
      </c>
      <c r="F114" t="s">
        <v>66</v>
      </c>
      <c r="G114" s="8">
        <v>827.97</v>
      </c>
      <c r="H114">
        <v>3</v>
      </c>
      <c r="I114" s="8">
        <v>2483.91</v>
      </c>
      <c r="J114" s="8">
        <v>1662.64</v>
      </c>
      <c r="K114" s="8">
        <v>821.27</v>
      </c>
      <c r="L114" t="s">
        <v>20</v>
      </c>
      <c r="M114" t="s">
        <v>35</v>
      </c>
      <c r="N114" t="s">
        <v>22</v>
      </c>
      <c r="O114">
        <v>67</v>
      </c>
      <c r="P114" t="s">
        <v>39</v>
      </c>
      <c r="Q114">
        <v>8</v>
      </c>
    </row>
    <row r="115" spans="1:17" x14ac:dyDescent="0.25">
      <c r="A115" t="s">
        <v>167</v>
      </c>
      <c r="B115" s="1">
        <v>45753</v>
      </c>
      <c r="C115" s="1" t="str">
        <f t="shared" si="1"/>
        <v>Apr</v>
      </c>
      <c r="D115" t="s">
        <v>31</v>
      </c>
      <c r="E115" t="s">
        <v>32</v>
      </c>
      <c r="F115" t="s">
        <v>33</v>
      </c>
      <c r="G115" s="8">
        <v>1537.09</v>
      </c>
      <c r="H115">
        <v>3</v>
      </c>
      <c r="I115" s="8">
        <v>4611.2700000000004</v>
      </c>
      <c r="J115" s="8">
        <v>2864.23</v>
      </c>
      <c r="K115" s="8">
        <v>1747.04</v>
      </c>
      <c r="L115" t="s">
        <v>34</v>
      </c>
      <c r="M115" t="s">
        <v>28</v>
      </c>
      <c r="N115" t="s">
        <v>36</v>
      </c>
      <c r="O115">
        <v>52</v>
      </c>
      <c r="P115" t="s">
        <v>39</v>
      </c>
      <c r="Q115">
        <v>8</v>
      </c>
    </row>
    <row r="116" spans="1:17" x14ac:dyDescent="0.25">
      <c r="A116" t="s">
        <v>168</v>
      </c>
      <c r="B116" s="1">
        <v>45399</v>
      </c>
      <c r="C116" s="1" t="str">
        <f t="shared" si="1"/>
        <v>Apr</v>
      </c>
      <c r="D116" t="s">
        <v>17</v>
      </c>
      <c r="E116" t="s">
        <v>18</v>
      </c>
      <c r="F116" t="s">
        <v>19</v>
      </c>
      <c r="G116" s="8">
        <v>381.48</v>
      </c>
      <c r="H116">
        <v>2</v>
      </c>
      <c r="I116" s="8">
        <v>762.96</v>
      </c>
      <c r="J116" s="8">
        <v>560.91</v>
      </c>
      <c r="K116" s="8">
        <v>202.05</v>
      </c>
      <c r="L116" t="s">
        <v>38</v>
      </c>
      <c r="M116" t="s">
        <v>28</v>
      </c>
      <c r="N116" t="s">
        <v>68</v>
      </c>
      <c r="O116">
        <v>63</v>
      </c>
      <c r="P116" t="s">
        <v>23</v>
      </c>
      <c r="Q116">
        <v>10</v>
      </c>
    </row>
    <row r="117" spans="1:17" x14ac:dyDescent="0.25">
      <c r="A117" t="s">
        <v>169</v>
      </c>
      <c r="B117" s="1">
        <v>45778</v>
      </c>
      <c r="C117" s="1" t="str">
        <f t="shared" si="1"/>
        <v>May</v>
      </c>
      <c r="D117" t="s">
        <v>41</v>
      </c>
      <c r="E117" t="s">
        <v>18</v>
      </c>
      <c r="F117" t="s">
        <v>42</v>
      </c>
      <c r="G117" s="8">
        <v>787.81</v>
      </c>
      <c r="H117">
        <v>3</v>
      </c>
      <c r="I117" s="8">
        <v>2363.4299999999998</v>
      </c>
      <c r="J117" s="8">
        <v>1302.8800000000001</v>
      </c>
      <c r="K117" s="8">
        <v>1060.55</v>
      </c>
      <c r="L117" t="s">
        <v>52</v>
      </c>
      <c r="M117" t="s">
        <v>35</v>
      </c>
      <c r="N117" t="s">
        <v>22</v>
      </c>
      <c r="O117">
        <v>56</v>
      </c>
      <c r="P117" t="s">
        <v>23</v>
      </c>
      <c r="Q117">
        <v>9</v>
      </c>
    </row>
    <row r="118" spans="1:17" x14ac:dyDescent="0.25">
      <c r="A118" t="s">
        <v>170</v>
      </c>
      <c r="B118" s="1">
        <v>45837</v>
      </c>
      <c r="C118" s="1" t="str">
        <f t="shared" si="1"/>
        <v>Jun</v>
      </c>
      <c r="D118" t="s">
        <v>31</v>
      </c>
      <c r="E118" t="s">
        <v>50</v>
      </c>
      <c r="F118" t="s">
        <v>51</v>
      </c>
      <c r="G118" s="8">
        <v>1526.66</v>
      </c>
      <c r="H118">
        <v>5</v>
      </c>
      <c r="I118" s="8">
        <v>7633.3</v>
      </c>
      <c r="J118" s="8">
        <v>5588.65</v>
      </c>
      <c r="K118" s="8">
        <v>2044.65</v>
      </c>
      <c r="L118" t="s">
        <v>20</v>
      </c>
      <c r="M118" t="s">
        <v>35</v>
      </c>
      <c r="N118" t="s">
        <v>43</v>
      </c>
      <c r="O118">
        <v>55</v>
      </c>
      <c r="P118" t="s">
        <v>39</v>
      </c>
      <c r="Q118">
        <v>1</v>
      </c>
    </row>
    <row r="119" spans="1:17" x14ac:dyDescent="0.25">
      <c r="A119" t="s">
        <v>171</v>
      </c>
      <c r="B119" s="1">
        <v>45494</v>
      </c>
      <c r="C119" s="1" t="str">
        <f t="shared" si="1"/>
        <v>Jul</v>
      </c>
      <c r="D119" t="s">
        <v>41</v>
      </c>
      <c r="E119" t="s">
        <v>46</v>
      </c>
      <c r="F119" t="s">
        <v>66</v>
      </c>
      <c r="G119" s="8">
        <v>810.43</v>
      </c>
      <c r="H119">
        <v>3</v>
      </c>
      <c r="I119" s="8">
        <v>2431.29</v>
      </c>
      <c r="J119" s="8">
        <v>1876.22</v>
      </c>
      <c r="K119" s="8">
        <v>555.07000000000005</v>
      </c>
      <c r="L119" t="s">
        <v>20</v>
      </c>
      <c r="M119" t="s">
        <v>35</v>
      </c>
      <c r="N119" t="s">
        <v>48</v>
      </c>
      <c r="O119">
        <v>65</v>
      </c>
      <c r="P119" t="s">
        <v>39</v>
      </c>
      <c r="Q119">
        <v>5</v>
      </c>
    </row>
    <row r="120" spans="1:17" x14ac:dyDescent="0.25">
      <c r="A120" t="s">
        <v>172</v>
      </c>
      <c r="B120" s="1">
        <v>45410</v>
      </c>
      <c r="C120" s="1" t="str">
        <f t="shared" si="1"/>
        <v>Apr</v>
      </c>
      <c r="D120" t="s">
        <v>17</v>
      </c>
      <c r="E120" t="s">
        <v>18</v>
      </c>
      <c r="F120" t="s">
        <v>19</v>
      </c>
      <c r="G120" s="8">
        <v>392.22</v>
      </c>
      <c r="H120">
        <v>4</v>
      </c>
      <c r="I120" s="8">
        <v>1568.88</v>
      </c>
      <c r="J120" s="8">
        <v>886.84</v>
      </c>
      <c r="K120" s="8">
        <v>682.04</v>
      </c>
      <c r="L120" t="s">
        <v>38</v>
      </c>
      <c r="M120" t="s">
        <v>28</v>
      </c>
      <c r="N120" t="s">
        <v>36</v>
      </c>
      <c r="O120">
        <v>18</v>
      </c>
      <c r="P120" t="s">
        <v>23</v>
      </c>
      <c r="Q120">
        <v>7</v>
      </c>
    </row>
    <row r="121" spans="1:17" x14ac:dyDescent="0.25">
      <c r="A121" t="s">
        <v>173</v>
      </c>
      <c r="B121" s="1">
        <v>45632</v>
      </c>
      <c r="C121" s="1" t="str">
        <f t="shared" si="1"/>
        <v>Dec</v>
      </c>
      <c r="D121" t="s">
        <v>45</v>
      </c>
      <c r="E121" t="s">
        <v>46</v>
      </c>
      <c r="F121" t="s">
        <v>47</v>
      </c>
      <c r="G121" s="8">
        <v>384.91</v>
      </c>
      <c r="H121">
        <v>4</v>
      </c>
      <c r="I121" s="8">
        <v>1539.64</v>
      </c>
      <c r="J121" s="8">
        <v>871.41</v>
      </c>
      <c r="K121" s="8">
        <v>668.23</v>
      </c>
      <c r="L121" t="s">
        <v>38</v>
      </c>
      <c r="M121" t="s">
        <v>35</v>
      </c>
      <c r="N121" t="s">
        <v>36</v>
      </c>
      <c r="O121">
        <v>52</v>
      </c>
      <c r="P121" t="s">
        <v>39</v>
      </c>
      <c r="Q121">
        <v>9</v>
      </c>
    </row>
    <row r="122" spans="1:17" x14ac:dyDescent="0.25">
      <c r="A122" t="s">
        <v>174</v>
      </c>
      <c r="B122" s="1">
        <v>45518</v>
      </c>
      <c r="C122" s="1" t="str">
        <f t="shared" si="1"/>
        <v>Aug</v>
      </c>
      <c r="D122" t="s">
        <v>41</v>
      </c>
      <c r="E122" t="s">
        <v>18</v>
      </c>
      <c r="F122" t="s">
        <v>42</v>
      </c>
      <c r="G122" s="8">
        <v>761.37</v>
      </c>
      <c r="H122">
        <v>3</v>
      </c>
      <c r="I122" s="8">
        <v>2284.11</v>
      </c>
      <c r="J122" s="8">
        <v>1279.2</v>
      </c>
      <c r="K122" s="8">
        <v>1004.91</v>
      </c>
      <c r="L122" t="s">
        <v>20</v>
      </c>
      <c r="M122" t="s">
        <v>21</v>
      </c>
      <c r="N122" t="s">
        <v>48</v>
      </c>
      <c r="O122">
        <v>66</v>
      </c>
      <c r="P122" t="s">
        <v>39</v>
      </c>
      <c r="Q122">
        <v>5</v>
      </c>
    </row>
    <row r="123" spans="1:17" x14ac:dyDescent="0.25">
      <c r="A123" t="s">
        <v>175</v>
      </c>
      <c r="B123" s="1">
        <v>45508</v>
      </c>
      <c r="C123" s="1" t="str">
        <f t="shared" si="1"/>
        <v>Aug</v>
      </c>
      <c r="D123" t="s">
        <v>17</v>
      </c>
      <c r="E123" t="s">
        <v>18</v>
      </c>
      <c r="F123" t="s">
        <v>19</v>
      </c>
      <c r="G123" s="8">
        <v>370.46</v>
      </c>
      <c r="H123">
        <v>5</v>
      </c>
      <c r="I123" s="8">
        <v>1852.3</v>
      </c>
      <c r="J123" s="8">
        <v>1427.08</v>
      </c>
      <c r="K123" s="8">
        <v>425.22</v>
      </c>
      <c r="L123" t="s">
        <v>34</v>
      </c>
      <c r="M123" t="s">
        <v>28</v>
      </c>
      <c r="N123" t="s">
        <v>48</v>
      </c>
      <c r="O123">
        <v>35</v>
      </c>
      <c r="P123" t="s">
        <v>23</v>
      </c>
      <c r="Q123">
        <v>4</v>
      </c>
    </row>
    <row r="124" spans="1:17" x14ac:dyDescent="0.25">
      <c r="A124" t="s">
        <v>176</v>
      </c>
      <c r="B124" s="1">
        <v>45656</v>
      </c>
      <c r="C124" s="1" t="str">
        <f t="shared" si="1"/>
        <v>Dec</v>
      </c>
      <c r="D124" t="s">
        <v>31</v>
      </c>
      <c r="E124" t="s">
        <v>32</v>
      </c>
      <c r="F124" t="s">
        <v>33</v>
      </c>
      <c r="G124" s="8">
        <v>1481</v>
      </c>
      <c r="H124">
        <v>5</v>
      </c>
      <c r="I124" s="8">
        <v>7405</v>
      </c>
      <c r="J124" s="8">
        <v>5140.75</v>
      </c>
      <c r="K124" s="8">
        <v>2264.25</v>
      </c>
      <c r="L124" t="s">
        <v>52</v>
      </c>
      <c r="M124" t="s">
        <v>28</v>
      </c>
      <c r="N124" t="s">
        <v>48</v>
      </c>
      <c r="O124">
        <v>24</v>
      </c>
      <c r="P124" t="s">
        <v>23</v>
      </c>
      <c r="Q124">
        <v>8</v>
      </c>
    </row>
    <row r="125" spans="1:17" x14ac:dyDescent="0.25">
      <c r="A125" t="s">
        <v>177</v>
      </c>
      <c r="B125" s="1">
        <v>45342</v>
      </c>
      <c r="C125" s="1" t="str">
        <f t="shared" si="1"/>
        <v>Feb</v>
      </c>
      <c r="D125" t="s">
        <v>17</v>
      </c>
      <c r="E125" t="s">
        <v>18</v>
      </c>
      <c r="F125" t="s">
        <v>19</v>
      </c>
      <c r="G125" s="8">
        <v>381.2</v>
      </c>
      <c r="H125">
        <v>5</v>
      </c>
      <c r="I125" s="8">
        <v>1906</v>
      </c>
      <c r="J125" s="8">
        <v>1420.44</v>
      </c>
      <c r="K125" s="8">
        <v>485.56</v>
      </c>
      <c r="L125" t="s">
        <v>38</v>
      </c>
      <c r="M125" t="s">
        <v>21</v>
      </c>
      <c r="N125" t="s">
        <v>48</v>
      </c>
      <c r="O125">
        <v>48</v>
      </c>
      <c r="P125" t="s">
        <v>23</v>
      </c>
      <c r="Q125">
        <v>1</v>
      </c>
    </row>
    <row r="126" spans="1:17" x14ac:dyDescent="0.25">
      <c r="A126" t="s">
        <v>178</v>
      </c>
      <c r="B126" s="1">
        <v>45590</v>
      </c>
      <c r="C126" s="1" t="str">
        <f t="shared" si="1"/>
        <v>Oct</v>
      </c>
      <c r="D126" t="s">
        <v>31</v>
      </c>
      <c r="E126" t="s">
        <v>32</v>
      </c>
      <c r="F126" t="s">
        <v>33</v>
      </c>
      <c r="G126" s="8">
        <v>1496.15</v>
      </c>
      <c r="H126">
        <v>5</v>
      </c>
      <c r="I126" s="8">
        <v>7480.75</v>
      </c>
      <c r="J126" s="8">
        <v>5546.89</v>
      </c>
      <c r="K126" s="8">
        <v>1933.86</v>
      </c>
      <c r="L126" t="s">
        <v>20</v>
      </c>
      <c r="M126" t="s">
        <v>35</v>
      </c>
      <c r="N126" t="s">
        <v>29</v>
      </c>
      <c r="O126">
        <v>41</v>
      </c>
      <c r="P126" t="s">
        <v>39</v>
      </c>
      <c r="Q126">
        <v>5</v>
      </c>
    </row>
    <row r="127" spans="1:17" x14ac:dyDescent="0.25">
      <c r="A127" t="s">
        <v>179</v>
      </c>
      <c r="B127" s="1">
        <v>45792</v>
      </c>
      <c r="C127" s="1" t="str">
        <f t="shared" si="1"/>
        <v>May</v>
      </c>
      <c r="D127" t="s">
        <v>31</v>
      </c>
      <c r="E127" t="s">
        <v>18</v>
      </c>
      <c r="F127" t="s">
        <v>58</v>
      </c>
      <c r="G127" s="8">
        <v>1507.41</v>
      </c>
      <c r="H127">
        <v>4</v>
      </c>
      <c r="I127" s="8">
        <v>6029.64</v>
      </c>
      <c r="J127" s="8">
        <v>3635.99</v>
      </c>
      <c r="K127" s="8">
        <v>2393.65</v>
      </c>
      <c r="L127" t="s">
        <v>38</v>
      </c>
      <c r="M127" t="s">
        <v>35</v>
      </c>
      <c r="N127" t="s">
        <v>29</v>
      </c>
      <c r="O127">
        <v>39</v>
      </c>
      <c r="P127" t="s">
        <v>23</v>
      </c>
      <c r="Q127">
        <v>4</v>
      </c>
    </row>
    <row r="128" spans="1:17" x14ac:dyDescent="0.25">
      <c r="A128" t="s">
        <v>180</v>
      </c>
      <c r="B128" s="1">
        <v>45609</v>
      </c>
      <c r="C128" s="1" t="str">
        <f t="shared" si="1"/>
        <v>Nov</v>
      </c>
      <c r="D128" t="s">
        <v>17</v>
      </c>
      <c r="E128" t="s">
        <v>54</v>
      </c>
      <c r="F128" t="s">
        <v>55</v>
      </c>
      <c r="G128" s="8">
        <v>378</v>
      </c>
      <c r="H128">
        <v>3</v>
      </c>
      <c r="I128" s="8">
        <v>1134</v>
      </c>
      <c r="J128" s="8">
        <v>795.05</v>
      </c>
      <c r="K128" s="8">
        <v>338.95</v>
      </c>
      <c r="L128" t="s">
        <v>34</v>
      </c>
      <c r="M128" t="s">
        <v>21</v>
      </c>
      <c r="N128" t="s">
        <v>48</v>
      </c>
      <c r="O128">
        <v>60</v>
      </c>
      <c r="P128" t="s">
        <v>23</v>
      </c>
      <c r="Q128">
        <v>8</v>
      </c>
    </row>
    <row r="129" spans="1:17" x14ac:dyDescent="0.25">
      <c r="A129" t="s">
        <v>181</v>
      </c>
      <c r="B129" s="1">
        <v>45866</v>
      </c>
      <c r="C129" s="1" t="str">
        <f t="shared" si="1"/>
        <v>Jul</v>
      </c>
      <c r="D129" t="s">
        <v>31</v>
      </c>
      <c r="E129" t="s">
        <v>18</v>
      </c>
      <c r="F129" t="s">
        <v>58</v>
      </c>
      <c r="G129" s="8">
        <v>1524.27</v>
      </c>
      <c r="H129">
        <v>4</v>
      </c>
      <c r="I129" s="8">
        <v>6097.08</v>
      </c>
      <c r="J129" s="8">
        <v>4347.32</v>
      </c>
      <c r="K129" s="8">
        <v>1749.76</v>
      </c>
      <c r="L129" t="s">
        <v>20</v>
      </c>
      <c r="M129" t="s">
        <v>28</v>
      </c>
      <c r="N129" t="s">
        <v>36</v>
      </c>
      <c r="O129">
        <v>49</v>
      </c>
      <c r="P129" t="s">
        <v>23</v>
      </c>
      <c r="Q129">
        <v>10</v>
      </c>
    </row>
    <row r="130" spans="1:17" x14ac:dyDescent="0.25">
      <c r="A130" t="s">
        <v>182</v>
      </c>
      <c r="B130" s="1">
        <v>45506</v>
      </c>
      <c r="C130" s="1" t="str">
        <f t="shared" si="1"/>
        <v>Aug</v>
      </c>
      <c r="D130" t="s">
        <v>17</v>
      </c>
      <c r="E130" t="s">
        <v>18</v>
      </c>
      <c r="F130" t="s">
        <v>19</v>
      </c>
      <c r="G130" s="8">
        <v>364.47</v>
      </c>
      <c r="H130">
        <v>3</v>
      </c>
      <c r="I130" s="8">
        <v>1093.4100000000001</v>
      </c>
      <c r="J130" s="8">
        <v>859.11</v>
      </c>
      <c r="K130" s="8">
        <v>234.3</v>
      </c>
      <c r="L130" t="s">
        <v>52</v>
      </c>
      <c r="M130" t="s">
        <v>35</v>
      </c>
      <c r="N130" t="s">
        <v>29</v>
      </c>
      <c r="O130">
        <v>63</v>
      </c>
      <c r="P130" t="s">
        <v>23</v>
      </c>
      <c r="Q130">
        <v>4</v>
      </c>
    </row>
    <row r="131" spans="1:17" x14ac:dyDescent="0.25">
      <c r="A131" t="s">
        <v>183</v>
      </c>
      <c r="B131" s="1">
        <v>45368</v>
      </c>
      <c r="C131" s="1" t="str">
        <f t="shared" ref="C131:C194" si="2">TEXT(B131,"mmm")</f>
        <v>Mar</v>
      </c>
      <c r="D131" t="s">
        <v>41</v>
      </c>
      <c r="E131" t="s">
        <v>46</v>
      </c>
      <c r="F131" t="s">
        <v>66</v>
      </c>
      <c r="G131" s="8">
        <v>824.44</v>
      </c>
      <c r="H131">
        <v>3</v>
      </c>
      <c r="I131" s="8">
        <v>2473.3200000000002</v>
      </c>
      <c r="J131" s="8">
        <v>1849.15</v>
      </c>
      <c r="K131" s="8">
        <v>624.16999999999996</v>
      </c>
      <c r="L131" t="s">
        <v>20</v>
      </c>
      <c r="M131" t="s">
        <v>21</v>
      </c>
      <c r="N131" t="s">
        <v>43</v>
      </c>
      <c r="O131">
        <v>40</v>
      </c>
      <c r="P131" t="s">
        <v>23</v>
      </c>
      <c r="Q131">
        <v>3</v>
      </c>
    </row>
    <row r="132" spans="1:17" x14ac:dyDescent="0.25">
      <c r="A132" t="s">
        <v>184</v>
      </c>
      <c r="B132" s="1">
        <v>45790</v>
      </c>
      <c r="C132" s="1" t="str">
        <f t="shared" si="2"/>
        <v>May</v>
      </c>
      <c r="D132" t="s">
        <v>25</v>
      </c>
      <c r="E132" t="s">
        <v>26</v>
      </c>
      <c r="F132" t="s">
        <v>27</v>
      </c>
      <c r="G132" s="8">
        <v>105.33</v>
      </c>
      <c r="H132">
        <v>2</v>
      </c>
      <c r="I132" s="8">
        <v>210.66</v>
      </c>
      <c r="J132" s="8">
        <v>157.27000000000001</v>
      </c>
      <c r="K132" s="8">
        <v>53.39</v>
      </c>
      <c r="L132" t="s">
        <v>34</v>
      </c>
      <c r="M132" t="s">
        <v>21</v>
      </c>
      <c r="N132" t="s">
        <v>22</v>
      </c>
      <c r="O132">
        <v>42</v>
      </c>
      <c r="P132" t="s">
        <v>39</v>
      </c>
      <c r="Q132">
        <v>10</v>
      </c>
    </row>
    <row r="133" spans="1:17" x14ac:dyDescent="0.25">
      <c r="A133" t="s">
        <v>185</v>
      </c>
      <c r="B133" s="1">
        <v>45637</v>
      </c>
      <c r="C133" s="1" t="str">
        <f t="shared" si="2"/>
        <v>Dec</v>
      </c>
      <c r="D133" t="s">
        <v>17</v>
      </c>
      <c r="E133" t="s">
        <v>54</v>
      </c>
      <c r="F133" t="s">
        <v>55</v>
      </c>
      <c r="G133" s="8">
        <v>422.2</v>
      </c>
      <c r="H133">
        <v>1</v>
      </c>
      <c r="I133" s="8">
        <v>422.2</v>
      </c>
      <c r="J133" s="8">
        <v>240.11</v>
      </c>
      <c r="K133" s="8">
        <v>182.09</v>
      </c>
      <c r="L133" t="s">
        <v>20</v>
      </c>
      <c r="M133" t="s">
        <v>21</v>
      </c>
      <c r="N133" t="s">
        <v>68</v>
      </c>
      <c r="O133">
        <v>46</v>
      </c>
      <c r="P133" t="s">
        <v>39</v>
      </c>
      <c r="Q133">
        <v>5</v>
      </c>
    </row>
    <row r="134" spans="1:17" x14ac:dyDescent="0.25">
      <c r="A134" t="s">
        <v>186</v>
      </c>
      <c r="B134" s="1">
        <v>45699</v>
      </c>
      <c r="C134" s="1" t="str">
        <f t="shared" si="2"/>
        <v>Feb</v>
      </c>
      <c r="D134" t="s">
        <v>17</v>
      </c>
      <c r="E134" t="s">
        <v>18</v>
      </c>
      <c r="F134" t="s">
        <v>19</v>
      </c>
      <c r="G134" s="8">
        <v>386.34</v>
      </c>
      <c r="H134">
        <v>4</v>
      </c>
      <c r="I134" s="8">
        <v>1545.36</v>
      </c>
      <c r="J134" s="8">
        <v>1201.56</v>
      </c>
      <c r="K134" s="8">
        <v>343.8</v>
      </c>
      <c r="L134" t="s">
        <v>52</v>
      </c>
      <c r="M134" t="s">
        <v>35</v>
      </c>
      <c r="N134" t="s">
        <v>43</v>
      </c>
      <c r="O134">
        <v>53</v>
      </c>
      <c r="P134" t="s">
        <v>23</v>
      </c>
      <c r="Q134">
        <v>5</v>
      </c>
    </row>
    <row r="135" spans="1:17" x14ac:dyDescent="0.25">
      <c r="A135" t="s">
        <v>187</v>
      </c>
      <c r="B135" s="1">
        <v>45527</v>
      </c>
      <c r="C135" s="1" t="str">
        <f t="shared" si="2"/>
        <v>Aug</v>
      </c>
      <c r="D135" t="s">
        <v>31</v>
      </c>
      <c r="E135" t="s">
        <v>18</v>
      </c>
      <c r="F135" t="s">
        <v>58</v>
      </c>
      <c r="G135" s="8">
        <v>1509.98</v>
      </c>
      <c r="H135">
        <v>3</v>
      </c>
      <c r="I135" s="8">
        <v>4529.9399999999996</v>
      </c>
      <c r="J135" s="8">
        <v>3221.21</v>
      </c>
      <c r="K135" s="8">
        <v>1308.73</v>
      </c>
      <c r="L135" t="s">
        <v>52</v>
      </c>
      <c r="M135" t="s">
        <v>28</v>
      </c>
      <c r="N135" t="s">
        <v>29</v>
      </c>
      <c r="O135">
        <v>52</v>
      </c>
      <c r="P135" t="s">
        <v>39</v>
      </c>
      <c r="Q135">
        <v>1</v>
      </c>
    </row>
    <row r="136" spans="1:17" x14ac:dyDescent="0.25">
      <c r="A136" t="s">
        <v>188</v>
      </c>
      <c r="B136" s="1">
        <v>45415</v>
      </c>
      <c r="C136" s="1" t="str">
        <f t="shared" si="2"/>
        <v>May</v>
      </c>
      <c r="D136" t="s">
        <v>17</v>
      </c>
      <c r="E136" t="s">
        <v>18</v>
      </c>
      <c r="F136" t="s">
        <v>19</v>
      </c>
      <c r="G136" s="8">
        <v>365.41</v>
      </c>
      <c r="H136">
        <v>1</v>
      </c>
      <c r="I136" s="8">
        <v>365.41</v>
      </c>
      <c r="J136" s="8">
        <v>215.54</v>
      </c>
      <c r="K136" s="8">
        <v>149.87</v>
      </c>
      <c r="L136" t="s">
        <v>38</v>
      </c>
      <c r="M136" t="s">
        <v>28</v>
      </c>
      <c r="N136" t="s">
        <v>48</v>
      </c>
      <c r="O136">
        <v>31</v>
      </c>
      <c r="P136" t="s">
        <v>39</v>
      </c>
      <c r="Q136">
        <v>5</v>
      </c>
    </row>
    <row r="137" spans="1:17" x14ac:dyDescent="0.25">
      <c r="A137" t="s">
        <v>189</v>
      </c>
      <c r="B137" s="1">
        <v>45468</v>
      </c>
      <c r="C137" s="1" t="str">
        <f t="shared" si="2"/>
        <v>Jun</v>
      </c>
      <c r="D137" t="s">
        <v>45</v>
      </c>
      <c r="E137" t="s">
        <v>18</v>
      </c>
      <c r="F137" t="s">
        <v>64</v>
      </c>
      <c r="G137" s="8">
        <v>417.34</v>
      </c>
      <c r="H137">
        <v>5</v>
      </c>
      <c r="I137" s="8">
        <v>2086.6999999999998</v>
      </c>
      <c r="J137" s="8">
        <v>1366.04</v>
      </c>
      <c r="K137" s="8">
        <v>720.66</v>
      </c>
      <c r="L137" t="s">
        <v>38</v>
      </c>
      <c r="M137" t="s">
        <v>35</v>
      </c>
      <c r="N137" t="s">
        <v>43</v>
      </c>
      <c r="O137">
        <v>55</v>
      </c>
      <c r="P137" t="s">
        <v>23</v>
      </c>
      <c r="Q137">
        <v>10</v>
      </c>
    </row>
    <row r="138" spans="1:17" x14ac:dyDescent="0.25">
      <c r="A138" t="s">
        <v>190</v>
      </c>
      <c r="B138" s="1">
        <v>45420</v>
      </c>
      <c r="C138" s="1" t="str">
        <f t="shared" si="2"/>
        <v>May</v>
      </c>
      <c r="D138" t="s">
        <v>17</v>
      </c>
      <c r="E138" t="s">
        <v>18</v>
      </c>
      <c r="F138" t="s">
        <v>19</v>
      </c>
      <c r="G138" s="8">
        <v>398.27</v>
      </c>
      <c r="H138">
        <v>2</v>
      </c>
      <c r="I138" s="8">
        <v>796.54</v>
      </c>
      <c r="J138" s="8">
        <v>528.54999999999995</v>
      </c>
      <c r="K138" s="8">
        <v>267.99</v>
      </c>
      <c r="L138" t="s">
        <v>38</v>
      </c>
      <c r="M138" t="s">
        <v>35</v>
      </c>
      <c r="N138" t="s">
        <v>22</v>
      </c>
      <c r="O138">
        <v>20</v>
      </c>
      <c r="P138" t="s">
        <v>23</v>
      </c>
      <c r="Q138">
        <v>10</v>
      </c>
    </row>
    <row r="139" spans="1:17" x14ac:dyDescent="0.25">
      <c r="A139" t="s">
        <v>191</v>
      </c>
      <c r="B139" s="1">
        <v>45590</v>
      </c>
      <c r="C139" s="1" t="str">
        <f t="shared" si="2"/>
        <v>Oct</v>
      </c>
      <c r="D139" t="s">
        <v>41</v>
      </c>
      <c r="E139" t="s">
        <v>46</v>
      </c>
      <c r="F139" t="s">
        <v>66</v>
      </c>
      <c r="G139" s="8">
        <v>794.18</v>
      </c>
      <c r="H139">
        <v>4</v>
      </c>
      <c r="I139" s="8">
        <v>3176.72</v>
      </c>
      <c r="J139" s="8">
        <v>2470.17</v>
      </c>
      <c r="K139" s="8">
        <v>706.55</v>
      </c>
      <c r="L139" t="s">
        <v>52</v>
      </c>
      <c r="M139" t="s">
        <v>21</v>
      </c>
      <c r="N139" t="s">
        <v>29</v>
      </c>
      <c r="O139">
        <v>34</v>
      </c>
      <c r="P139" t="s">
        <v>23</v>
      </c>
      <c r="Q139">
        <v>8</v>
      </c>
    </row>
    <row r="140" spans="1:17" x14ac:dyDescent="0.25">
      <c r="A140" t="s">
        <v>192</v>
      </c>
      <c r="B140" s="1">
        <v>45303</v>
      </c>
      <c r="C140" s="1" t="str">
        <f t="shared" si="2"/>
        <v>Jan</v>
      </c>
      <c r="D140" t="s">
        <v>17</v>
      </c>
      <c r="E140" t="s">
        <v>54</v>
      </c>
      <c r="F140" t="s">
        <v>55</v>
      </c>
      <c r="G140" s="8">
        <v>394.37</v>
      </c>
      <c r="H140">
        <v>3</v>
      </c>
      <c r="I140" s="8">
        <v>1183.1099999999999</v>
      </c>
      <c r="J140" s="8">
        <v>754.54</v>
      </c>
      <c r="K140" s="8">
        <v>428.57</v>
      </c>
      <c r="L140" t="s">
        <v>20</v>
      </c>
      <c r="M140" t="s">
        <v>28</v>
      </c>
      <c r="N140" t="s">
        <v>22</v>
      </c>
      <c r="O140">
        <v>33</v>
      </c>
      <c r="P140" t="s">
        <v>23</v>
      </c>
      <c r="Q140">
        <v>4</v>
      </c>
    </row>
    <row r="141" spans="1:17" x14ac:dyDescent="0.25">
      <c r="A141" t="s">
        <v>193</v>
      </c>
      <c r="B141" s="1">
        <v>45816</v>
      </c>
      <c r="C141" s="1" t="str">
        <f t="shared" si="2"/>
        <v>Jun</v>
      </c>
      <c r="D141" t="s">
        <v>31</v>
      </c>
      <c r="E141" t="s">
        <v>32</v>
      </c>
      <c r="F141" t="s">
        <v>33</v>
      </c>
      <c r="G141" s="8">
        <v>1498.98</v>
      </c>
      <c r="H141">
        <v>4</v>
      </c>
      <c r="I141" s="8">
        <v>5995.92</v>
      </c>
      <c r="J141" s="8">
        <v>4136.92</v>
      </c>
      <c r="K141" s="8">
        <v>1859</v>
      </c>
      <c r="L141" t="s">
        <v>38</v>
      </c>
      <c r="M141" t="s">
        <v>35</v>
      </c>
      <c r="N141" t="s">
        <v>36</v>
      </c>
      <c r="O141">
        <v>30</v>
      </c>
      <c r="P141" t="s">
        <v>23</v>
      </c>
      <c r="Q141">
        <v>8</v>
      </c>
    </row>
    <row r="142" spans="1:17" x14ac:dyDescent="0.25">
      <c r="A142" t="s">
        <v>194</v>
      </c>
      <c r="B142" s="1">
        <v>45837</v>
      </c>
      <c r="C142" s="1" t="str">
        <f t="shared" si="2"/>
        <v>Jun</v>
      </c>
      <c r="D142" t="s">
        <v>25</v>
      </c>
      <c r="E142" t="s">
        <v>26</v>
      </c>
      <c r="F142" t="s">
        <v>27</v>
      </c>
      <c r="G142" s="8">
        <v>93.11</v>
      </c>
      <c r="H142">
        <v>5</v>
      </c>
      <c r="I142" s="8">
        <v>465.55</v>
      </c>
      <c r="J142" s="8">
        <v>330.43</v>
      </c>
      <c r="K142" s="8">
        <v>135.12</v>
      </c>
      <c r="L142" t="s">
        <v>20</v>
      </c>
      <c r="M142" t="s">
        <v>35</v>
      </c>
      <c r="N142" t="s">
        <v>29</v>
      </c>
      <c r="O142">
        <v>64</v>
      </c>
      <c r="P142" t="s">
        <v>23</v>
      </c>
      <c r="Q142">
        <v>8</v>
      </c>
    </row>
    <row r="143" spans="1:17" x14ac:dyDescent="0.25">
      <c r="A143" t="s">
        <v>195</v>
      </c>
      <c r="B143" s="1">
        <v>45374</v>
      </c>
      <c r="C143" s="1" t="str">
        <f t="shared" si="2"/>
        <v>Mar</v>
      </c>
      <c r="D143" t="s">
        <v>41</v>
      </c>
      <c r="E143" t="s">
        <v>46</v>
      </c>
      <c r="F143" t="s">
        <v>66</v>
      </c>
      <c r="G143" s="8">
        <v>778.84</v>
      </c>
      <c r="H143">
        <v>5</v>
      </c>
      <c r="I143" s="8">
        <v>3894.2</v>
      </c>
      <c r="J143" s="8">
        <v>2937.54</v>
      </c>
      <c r="K143" s="8">
        <v>956.66</v>
      </c>
      <c r="L143" t="s">
        <v>20</v>
      </c>
      <c r="M143" t="s">
        <v>35</v>
      </c>
      <c r="N143" t="s">
        <v>22</v>
      </c>
      <c r="O143">
        <v>30</v>
      </c>
      <c r="P143" t="s">
        <v>39</v>
      </c>
      <c r="Q143">
        <v>5</v>
      </c>
    </row>
    <row r="144" spans="1:17" x14ac:dyDescent="0.25">
      <c r="A144" t="s">
        <v>196</v>
      </c>
      <c r="B144" s="1">
        <v>45347</v>
      </c>
      <c r="C144" s="1" t="str">
        <f t="shared" si="2"/>
        <v>Feb</v>
      </c>
      <c r="D144" t="s">
        <v>45</v>
      </c>
      <c r="E144" t="s">
        <v>46</v>
      </c>
      <c r="F144" t="s">
        <v>47</v>
      </c>
      <c r="G144" s="8">
        <v>415.4</v>
      </c>
      <c r="H144">
        <v>2</v>
      </c>
      <c r="I144" s="8">
        <v>830.8</v>
      </c>
      <c r="J144" s="8">
        <v>576.70000000000005</v>
      </c>
      <c r="K144" s="8">
        <v>254.1</v>
      </c>
      <c r="L144" t="s">
        <v>52</v>
      </c>
      <c r="M144" t="s">
        <v>28</v>
      </c>
      <c r="N144" t="s">
        <v>36</v>
      </c>
      <c r="O144">
        <v>25</v>
      </c>
      <c r="P144" t="s">
        <v>39</v>
      </c>
      <c r="Q144">
        <v>10</v>
      </c>
    </row>
    <row r="145" spans="1:17" x14ac:dyDescent="0.25">
      <c r="A145" t="s">
        <v>197</v>
      </c>
      <c r="B145" s="1">
        <v>45770</v>
      </c>
      <c r="C145" s="1" t="str">
        <f t="shared" si="2"/>
        <v>Apr</v>
      </c>
      <c r="D145" t="s">
        <v>25</v>
      </c>
      <c r="E145" t="s">
        <v>26</v>
      </c>
      <c r="F145" t="s">
        <v>27</v>
      </c>
      <c r="G145" s="8">
        <v>74.64</v>
      </c>
      <c r="H145">
        <v>1</v>
      </c>
      <c r="I145" s="8">
        <v>74.64</v>
      </c>
      <c r="J145" s="8">
        <v>54.48</v>
      </c>
      <c r="K145" s="8">
        <v>20.16</v>
      </c>
      <c r="L145" t="s">
        <v>52</v>
      </c>
      <c r="M145" t="s">
        <v>35</v>
      </c>
      <c r="N145" t="s">
        <v>36</v>
      </c>
      <c r="O145">
        <v>36</v>
      </c>
      <c r="P145" t="s">
        <v>23</v>
      </c>
      <c r="Q145">
        <v>9</v>
      </c>
    </row>
    <row r="146" spans="1:17" x14ac:dyDescent="0.25">
      <c r="A146" t="s">
        <v>198</v>
      </c>
      <c r="B146" s="1">
        <v>45601</v>
      </c>
      <c r="C146" s="1" t="str">
        <f t="shared" si="2"/>
        <v>Nov</v>
      </c>
      <c r="D146" t="s">
        <v>41</v>
      </c>
      <c r="E146" t="s">
        <v>18</v>
      </c>
      <c r="F146" t="s">
        <v>42</v>
      </c>
      <c r="G146" s="8">
        <v>768.85</v>
      </c>
      <c r="H146">
        <v>3</v>
      </c>
      <c r="I146" s="8">
        <v>2306.5500000000002</v>
      </c>
      <c r="J146" s="8">
        <v>1275.29</v>
      </c>
      <c r="K146" s="8">
        <v>1031.26</v>
      </c>
      <c r="L146" t="s">
        <v>34</v>
      </c>
      <c r="M146" t="s">
        <v>28</v>
      </c>
      <c r="N146" t="s">
        <v>22</v>
      </c>
      <c r="O146">
        <v>65</v>
      </c>
      <c r="P146" t="s">
        <v>23</v>
      </c>
      <c r="Q146">
        <v>5</v>
      </c>
    </row>
    <row r="147" spans="1:17" x14ac:dyDescent="0.25">
      <c r="A147" t="s">
        <v>199</v>
      </c>
      <c r="B147" s="1">
        <v>45424</v>
      </c>
      <c r="C147" s="1" t="str">
        <f t="shared" si="2"/>
        <v>May</v>
      </c>
      <c r="D147" t="s">
        <v>31</v>
      </c>
      <c r="E147" t="s">
        <v>18</v>
      </c>
      <c r="F147" t="s">
        <v>58</v>
      </c>
      <c r="G147" s="8">
        <v>1492.04</v>
      </c>
      <c r="H147">
        <v>1</v>
      </c>
      <c r="I147" s="8">
        <v>1492.04</v>
      </c>
      <c r="J147" s="8">
        <v>912.07</v>
      </c>
      <c r="K147" s="8">
        <v>579.97</v>
      </c>
      <c r="L147" t="s">
        <v>34</v>
      </c>
      <c r="M147" t="s">
        <v>35</v>
      </c>
      <c r="N147" t="s">
        <v>29</v>
      </c>
      <c r="O147">
        <v>49</v>
      </c>
      <c r="P147" t="s">
        <v>39</v>
      </c>
      <c r="Q147">
        <v>1</v>
      </c>
    </row>
    <row r="148" spans="1:17" x14ac:dyDescent="0.25">
      <c r="A148" t="s">
        <v>200</v>
      </c>
      <c r="B148" s="1">
        <v>45698</v>
      </c>
      <c r="C148" s="1" t="str">
        <f t="shared" si="2"/>
        <v>Feb</v>
      </c>
      <c r="D148" t="s">
        <v>25</v>
      </c>
      <c r="E148" t="s">
        <v>72</v>
      </c>
      <c r="F148" t="s">
        <v>73</v>
      </c>
      <c r="G148" s="8">
        <v>86.21</v>
      </c>
      <c r="H148">
        <v>4</v>
      </c>
      <c r="I148" s="8">
        <v>344.84</v>
      </c>
      <c r="J148" s="8">
        <v>241.77</v>
      </c>
      <c r="K148" s="8">
        <v>103.07</v>
      </c>
      <c r="L148" t="s">
        <v>38</v>
      </c>
      <c r="M148" t="s">
        <v>35</v>
      </c>
      <c r="N148" t="s">
        <v>29</v>
      </c>
      <c r="O148">
        <v>51</v>
      </c>
      <c r="P148" t="s">
        <v>23</v>
      </c>
      <c r="Q148">
        <v>9</v>
      </c>
    </row>
    <row r="149" spans="1:17" x14ac:dyDescent="0.25">
      <c r="A149" t="s">
        <v>201</v>
      </c>
      <c r="B149" s="1">
        <v>45366</v>
      </c>
      <c r="C149" s="1" t="str">
        <f t="shared" si="2"/>
        <v>Mar</v>
      </c>
      <c r="D149" t="s">
        <v>25</v>
      </c>
      <c r="E149" t="s">
        <v>72</v>
      </c>
      <c r="F149" t="s">
        <v>73</v>
      </c>
      <c r="G149" s="8">
        <v>87.95</v>
      </c>
      <c r="H149">
        <v>5</v>
      </c>
      <c r="I149" s="8">
        <v>439.75</v>
      </c>
      <c r="J149" s="8">
        <v>314.22000000000003</v>
      </c>
      <c r="K149" s="8">
        <v>125.53</v>
      </c>
      <c r="L149" t="s">
        <v>52</v>
      </c>
      <c r="M149" t="s">
        <v>35</v>
      </c>
      <c r="N149" t="s">
        <v>29</v>
      </c>
      <c r="O149">
        <v>64</v>
      </c>
      <c r="P149" t="s">
        <v>39</v>
      </c>
      <c r="Q149">
        <v>6</v>
      </c>
    </row>
    <row r="150" spans="1:17" x14ac:dyDescent="0.25">
      <c r="A150" t="s">
        <v>202</v>
      </c>
      <c r="B150" s="1">
        <v>45732</v>
      </c>
      <c r="C150" s="1" t="str">
        <f t="shared" si="2"/>
        <v>Mar</v>
      </c>
      <c r="D150" t="s">
        <v>31</v>
      </c>
      <c r="E150" t="s">
        <v>32</v>
      </c>
      <c r="F150" t="s">
        <v>33</v>
      </c>
      <c r="G150" s="8">
        <v>1498.27</v>
      </c>
      <c r="H150">
        <v>4</v>
      </c>
      <c r="I150" s="8">
        <v>5993.08</v>
      </c>
      <c r="J150" s="8">
        <v>3988.25</v>
      </c>
      <c r="K150" s="8">
        <v>2004.83</v>
      </c>
      <c r="L150" t="s">
        <v>38</v>
      </c>
      <c r="M150" t="s">
        <v>21</v>
      </c>
      <c r="N150" t="s">
        <v>68</v>
      </c>
      <c r="O150">
        <v>21</v>
      </c>
      <c r="P150" t="s">
        <v>23</v>
      </c>
      <c r="Q150">
        <v>10</v>
      </c>
    </row>
    <row r="151" spans="1:17" x14ac:dyDescent="0.25">
      <c r="A151" t="s">
        <v>203</v>
      </c>
      <c r="B151" s="1">
        <v>45323</v>
      </c>
      <c r="C151" s="1" t="str">
        <f t="shared" si="2"/>
        <v>Feb</v>
      </c>
      <c r="D151" t="s">
        <v>31</v>
      </c>
      <c r="E151" t="s">
        <v>18</v>
      </c>
      <c r="F151" t="s">
        <v>58</v>
      </c>
      <c r="G151" s="8">
        <v>1466.64</v>
      </c>
      <c r="H151">
        <v>3</v>
      </c>
      <c r="I151" s="8">
        <v>4399.92</v>
      </c>
      <c r="J151" s="8">
        <v>3402.13</v>
      </c>
      <c r="K151" s="8">
        <v>997.79</v>
      </c>
      <c r="L151" t="s">
        <v>52</v>
      </c>
      <c r="M151" t="s">
        <v>21</v>
      </c>
      <c r="N151" t="s">
        <v>29</v>
      </c>
      <c r="O151">
        <v>33</v>
      </c>
      <c r="P151" t="s">
        <v>23</v>
      </c>
      <c r="Q151">
        <v>4</v>
      </c>
    </row>
    <row r="152" spans="1:17" x14ac:dyDescent="0.25">
      <c r="A152" t="s">
        <v>204</v>
      </c>
      <c r="B152" s="1">
        <v>45691</v>
      </c>
      <c r="C152" s="1" t="str">
        <f t="shared" si="2"/>
        <v>Feb</v>
      </c>
      <c r="D152" t="s">
        <v>45</v>
      </c>
      <c r="E152" t="s">
        <v>46</v>
      </c>
      <c r="F152" t="s">
        <v>47</v>
      </c>
      <c r="G152" s="8">
        <v>392.64</v>
      </c>
      <c r="H152">
        <v>3</v>
      </c>
      <c r="I152" s="8">
        <v>1177.92</v>
      </c>
      <c r="J152" s="8">
        <v>779.49</v>
      </c>
      <c r="K152" s="8">
        <v>398.43</v>
      </c>
      <c r="L152" t="s">
        <v>20</v>
      </c>
      <c r="M152" t="s">
        <v>28</v>
      </c>
      <c r="N152" t="s">
        <v>48</v>
      </c>
      <c r="O152">
        <v>59</v>
      </c>
      <c r="P152" t="s">
        <v>39</v>
      </c>
      <c r="Q152">
        <v>7</v>
      </c>
    </row>
    <row r="153" spans="1:17" x14ac:dyDescent="0.25">
      <c r="A153" t="s">
        <v>205</v>
      </c>
      <c r="B153" s="1">
        <v>45690</v>
      </c>
      <c r="C153" s="1" t="str">
        <f t="shared" si="2"/>
        <v>Feb</v>
      </c>
      <c r="D153" t="s">
        <v>25</v>
      </c>
      <c r="E153" t="s">
        <v>72</v>
      </c>
      <c r="F153" t="s">
        <v>73</v>
      </c>
      <c r="G153" s="8">
        <v>56.87</v>
      </c>
      <c r="H153">
        <v>1</v>
      </c>
      <c r="I153" s="8">
        <v>56.87</v>
      </c>
      <c r="J153" s="8">
        <v>36.33</v>
      </c>
      <c r="K153" s="8">
        <v>20.54</v>
      </c>
      <c r="L153" t="s">
        <v>20</v>
      </c>
      <c r="M153" t="s">
        <v>35</v>
      </c>
      <c r="N153" t="s">
        <v>36</v>
      </c>
      <c r="O153">
        <v>22</v>
      </c>
      <c r="P153" t="s">
        <v>23</v>
      </c>
      <c r="Q153">
        <v>6</v>
      </c>
    </row>
    <row r="154" spans="1:17" x14ac:dyDescent="0.25">
      <c r="A154" t="s">
        <v>206</v>
      </c>
      <c r="B154" s="1">
        <v>45779</v>
      </c>
      <c r="C154" s="1" t="str">
        <f t="shared" si="2"/>
        <v>May</v>
      </c>
      <c r="D154" t="s">
        <v>17</v>
      </c>
      <c r="E154" t="s">
        <v>18</v>
      </c>
      <c r="F154" t="s">
        <v>19</v>
      </c>
      <c r="G154" s="8">
        <v>378.4</v>
      </c>
      <c r="H154">
        <v>5</v>
      </c>
      <c r="I154" s="8">
        <v>1892</v>
      </c>
      <c r="J154" s="8">
        <v>1426.97</v>
      </c>
      <c r="K154" s="8">
        <v>465.03</v>
      </c>
      <c r="L154" t="s">
        <v>38</v>
      </c>
      <c r="M154" t="s">
        <v>21</v>
      </c>
      <c r="N154" t="s">
        <v>22</v>
      </c>
      <c r="O154">
        <v>23</v>
      </c>
      <c r="P154" t="s">
        <v>23</v>
      </c>
      <c r="Q154">
        <v>4</v>
      </c>
    </row>
    <row r="155" spans="1:17" x14ac:dyDescent="0.25">
      <c r="A155" t="s">
        <v>207</v>
      </c>
      <c r="B155" s="1">
        <v>45408</v>
      </c>
      <c r="C155" s="1" t="str">
        <f t="shared" si="2"/>
        <v>Apr</v>
      </c>
      <c r="D155" t="s">
        <v>31</v>
      </c>
      <c r="E155" t="s">
        <v>50</v>
      </c>
      <c r="F155" t="s">
        <v>51</v>
      </c>
      <c r="G155" s="8">
        <v>1493.19</v>
      </c>
      <c r="H155">
        <v>4</v>
      </c>
      <c r="I155" s="8">
        <v>5972.76</v>
      </c>
      <c r="J155" s="8">
        <v>4741.8599999999997</v>
      </c>
      <c r="K155" s="8">
        <v>1230.9000000000001</v>
      </c>
      <c r="L155" t="s">
        <v>20</v>
      </c>
      <c r="M155" t="s">
        <v>21</v>
      </c>
      <c r="N155" t="s">
        <v>43</v>
      </c>
      <c r="O155">
        <v>45</v>
      </c>
      <c r="P155" t="s">
        <v>39</v>
      </c>
      <c r="Q155">
        <v>1</v>
      </c>
    </row>
    <row r="156" spans="1:17" x14ac:dyDescent="0.25">
      <c r="A156" t="s">
        <v>208</v>
      </c>
      <c r="B156" s="1">
        <v>45640</v>
      </c>
      <c r="C156" s="1" t="str">
        <f t="shared" si="2"/>
        <v>Dec</v>
      </c>
      <c r="D156" t="s">
        <v>31</v>
      </c>
      <c r="E156" t="s">
        <v>50</v>
      </c>
      <c r="F156" t="s">
        <v>51</v>
      </c>
      <c r="G156" s="8">
        <v>1474.38</v>
      </c>
      <c r="H156">
        <v>4</v>
      </c>
      <c r="I156" s="8">
        <v>5897.52</v>
      </c>
      <c r="J156" s="8">
        <v>3681.2</v>
      </c>
      <c r="K156" s="8">
        <v>2216.3200000000002</v>
      </c>
      <c r="L156" t="s">
        <v>20</v>
      </c>
      <c r="M156" t="s">
        <v>35</v>
      </c>
      <c r="N156" t="s">
        <v>36</v>
      </c>
      <c r="O156">
        <v>55</v>
      </c>
      <c r="P156" t="s">
        <v>39</v>
      </c>
      <c r="Q156">
        <v>10</v>
      </c>
    </row>
    <row r="157" spans="1:17" x14ac:dyDescent="0.25">
      <c r="A157" t="s">
        <v>209</v>
      </c>
      <c r="B157" s="1">
        <v>45510</v>
      </c>
      <c r="C157" s="1" t="str">
        <f t="shared" si="2"/>
        <v>Aug</v>
      </c>
      <c r="D157" t="s">
        <v>41</v>
      </c>
      <c r="E157" t="s">
        <v>18</v>
      </c>
      <c r="F157" t="s">
        <v>42</v>
      </c>
      <c r="G157" s="8">
        <v>806.02</v>
      </c>
      <c r="H157">
        <v>4</v>
      </c>
      <c r="I157" s="8">
        <v>3224.08</v>
      </c>
      <c r="J157" s="8">
        <v>1914.27</v>
      </c>
      <c r="K157" s="8">
        <v>1309.81</v>
      </c>
      <c r="L157" t="s">
        <v>52</v>
      </c>
      <c r="M157" t="s">
        <v>35</v>
      </c>
      <c r="N157" t="s">
        <v>48</v>
      </c>
      <c r="O157">
        <v>59</v>
      </c>
      <c r="P157" t="s">
        <v>23</v>
      </c>
      <c r="Q157">
        <v>1</v>
      </c>
    </row>
    <row r="158" spans="1:17" x14ac:dyDescent="0.25">
      <c r="A158" t="s">
        <v>210</v>
      </c>
      <c r="B158" s="1">
        <v>45323</v>
      </c>
      <c r="C158" s="1" t="str">
        <f t="shared" si="2"/>
        <v>Feb</v>
      </c>
      <c r="D158" t="s">
        <v>25</v>
      </c>
      <c r="E158" t="s">
        <v>72</v>
      </c>
      <c r="F158" t="s">
        <v>73</v>
      </c>
      <c r="G158" s="8">
        <v>68.459999999999994</v>
      </c>
      <c r="H158">
        <v>4</v>
      </c>
      <c r="I158" s="8">
        <v>273.83999999999997</v>
      </c>
      <c r="J158" s="8">
        <v>203.09</v>
      </c>
      <c r="K158" s="8">
        <v>70.75</v>
      </c>
      <c r="L158" t="s">
        <v>34</v>
      </c>
      <c r="M158" t="s">
        <v>21</v>
      </c>
      <c r="N158" t="s">
        <v>29</v>
      </c>
      <c r="O158">
        <v>61</v>
      </c>
      <c r="P158" t="s">
        <v>23</v>
      </c>
      <c r="Q158">
        <v>8</v>
      </c>
    </row>
    <row r="159" spans="1:17" x14ac:dyDescent="0.25">
      <c r="A159" t="s">
        <v>211</v>
      </c>
      <c r="B159" s="1">
        <v>45500</v>
      </c>
      <c r="C159" s="1" t="str">
        <f t="shared" si="2"/>
        <v>Jul</v>
      </c>
      <c r="D159" t="s">
        <v>41</v>
      </c>
      <c r="E159" t="s">
        <v>46</v>
      </c>
      <c r="F159" t="s">
        <v>66</v>
      </c>
      <c r="G159" s="8">
        <v>796.55</v>
      </c>
      <c r="H159">
        <v>4</v>
      </c>
      <c r="I159" s="8">
        <v>3186.2</v>
      </c>
      <c r="J159" s="8">
        <v>2226.5100000000002</v>
      </c>
      <c r="K159" s="8">
        <v>959.69</v>
      </c>
      <c r="L159" t="s">
        <v>20</v>
      </c>
      <c r="M159" t="s">
        <v>35</v>
      </c>
      <c r="N159" t="s">
        <v>43</v>
      </c>
      <c r="O159">
        <v>61</v>
      </c>
      <c r="P159" t="s">
        <v>23</v>
      </c>
      <c r="Q159">
        <v>9</v>
      </c>
    </row>
    <row r="160" spans="1:17" x14ac:dyDescent="0.25">
      <c r="A160" t="s">
        <v>212</v>
      </c>
      <c r="B160" s="1">
        <v>45692</v>
      </c>
      <c r="C160" s="1" t="str">
        <f t="shared" si="2"/>
        <v>Feb</v>
      </c>
      <c r="D160" t="s">
        <v>25</v>
      </c>
      <c r="E160" t="s">
        <v>26</v>
      </c>
      <c r="F160" t="s">
        <v>27</v>
      </c>
      <c r="G160" s="8">
        <v>52.92</v>
      </c>
      <c r="H160">
        <v>5</v>
      </c>
      <c r="I160" s="8">
        <v>264.60000000000002</v>
      </c>
      <c r="J160" s="8">
        <v>168.23</v>
      </c>
      <c r="K160" s="8">
        <v>96.37</v>
      </c>
      <c r="L160" t="s">
        <v>34</v>
      </c>
      <c r="M160" t="s">
        <v>35</v>
      </c>
      <c r="N160" t="s">
        <v>22</v>
      </c>
      <c r="O160">
        <v>39</v>
      </c>
      <c r="P160" t="s">
        <v>39</v>
      </c>
      <c r="Q160">
        <v>6</v>
      </c>
    </row>
    <row r="161" spans="1:17" x14ac:dyDescent="0.25">
      <c r="A161" t="s">
        <v>213</v>
      </c>
      <c r="B161" s="1">
        <v>45688</v>
      </c>
      <c r="C161" s="1" t="str">
        <f t="shared" si="2"/>
        <v>Jan</v>
      </c>
      <c r="D161" t="s">
        <v>17</v>
      </c>
      <c r="E161" t="s">
        <v>54</v>
      </c>
      <c r="F161" t="s">
        <v>55</v>
      </c>
      <c r="G161" s="8">
        <v>391.39</v>
      </c>
      <c r="H161">
        <v>5</v>
      </c>
      <c r="I161" s="8">
        <v>1956.95</v>
      </c>
      <c r="J161" s="8">
        <v>1527.39</v>
      </c>
      <c r="K161" s="8">
        <v>429.56</v>
      </c>
      <c r="L161" t="s">
        <v>20</v>
      </c>
      <c r="M161" t="s">
        <v>35</v>
      </c>
      <c r="N161" t="s">
        <v>68</v>
      </c>
      <c r="O161">
        <v>29</v>
      </c>
      <c r="P161" t="s">
        <v>23</v>
      </c>
      <c r="Q161">
        <v>1</v>
      </c>
    </row>
    <row r="162" spans="1:17" x14ac:dyDescent="0.25">
      <c r="A162" t="s">
        <v>214</v>
      </c>
      <c r="B162" s="1">
        <v>45828</v>
      </c>
      <c r="C162" s="1" t="str">
        <f t="shared" si="2"/>
        <v>Jun</v>
      </c>
      <c r="D162" t="s">
        <v>45</v>
      </c>
      <c r="E162" t="s">
        <v>18</v>
      </c>
      <c r="F162" t="s">
        <v>64</v>
      </c>
      <c r="G162" s="8">
        <v>407.59</v>
      </c>
      <c r="H162">
        <v>3</v>
      </c>
      <c r="I162" s="8">
        <v>1222.77</v>
      </c>
      <c r="J162" s="8">
        <v>822.73</v>
      </c>
      <c r="K162" s="8">
        <v>400.04</v>
      </c>
      <c r="L162" t="s">
        <v>20</v>
      </c>
      <c r="M162" t="s">
        <v>28</v>
      </c>
      <c r="N162" t="s">
        <v>36</v>
      </c>
      <c r="O162">
        <v>65</v>
      </c>
      <c r="P162" t="s">
        <v>23</v>
      </c>
      <c r="Q162">
        <v>6</v>
      </c>
    </row>
    <row r="163" spans="1:17" x14ac:dyDescent="0.25">
      <c r="A163" t="s">
        <v>215</v>
      </c>
      <c r="B163" s="1">
        <v>45862</v>
      </c>
      <c r="C163" s="1" t="str">
        <f t="shared" si="2"/>
        <v>Jul</v>
      </c>
      <c r="D163" t="s">
        <v>25</v>
      </c>
      <c r="E163" t="s">
        <v>72</v>
      </c>
      <c r="F163" t="s">
        <v>73</v>
      </c>
      <c r="G163" s="8">
        <v>84.72</v>
      </c>
      <c r="H163">
        <v>4</v>
      </c>
      <c r="I163" s="8">
        <v>338.88</v>
      </c>
      <c r="J163" s="8">
        <v>235.95</v>
      </c>
      <c r="K163" s="8">
        <v>102.93</v>
      </c>
      <c r="L163" t="s">
        <v>20</v>
      </c>
      <c r="M163" t="s">
        <v>28</v>
      </c>
      <c r="N163" t="s">
        <v>22</v>
      </c>
      <c r="O163">
        <v>45</v>
      </c>
      <c r="P163" t="s">
        <v>39</v>
      </c>
      <c r="Q163">
        <v>4</v>
      </c>
    </row>
    <row r="164" spans="1:17" x14ac:dyDescent="0.25">
      <c r="A164" t="s">
        <v>216</v>
      </c>
      <c r="B164" s="1">
        <v>45805</v>
      </c>
      <c r="C164" s="1" t="str">
        <f t="shared" si="2"/>
        <v>May</v>
      </c>
      <c r="D164" t="s">
        <v>45</v>
      </c>
      <c r="E164" t="s">
        <v>18</v>
      </c>
      <c r="F164" t="s">
        <v>64</v>
      </c>
      <c r="G164" s="8">
        <v>398.48</v>
      </c>
      <c r="H164">
        <v>3</v>
      </c>
      <c r="I164" s="8">
        <v>1195.44</v>
      </c>
      <c r="J164" s="8">
        <v>698.63</v>
      </c>
      <c r="K164" s="8">
        <v>496.81</v>
      </c>
      <c r="L164" t="s">
        <v>38</v>
      </c>
      <c r="M164" t="s">
        <v>28</v>
      </c>
      <c r="N164" t="s">
        <v>48</v>
      </c>
      <c r="O164">
        <v>52</v>
      </c>
      <c r="P164" t="s">
        <v>39</v>
      </c>
      <c r="Q164">
        <v>5</v>
      </c>
    </row>
    <row r="165" spans="1:17" x14ac:dyDescent="0.25">
      <c r="A165" t="s">
        <v>217</v>
      </c>
      <c r="B165" s="1">
        <v>45479</v>
      </c>
      <c r="C165" s="1" t="str">
        <f t="shared" si="2"/>
        <v>Jul</v>
      </c>
      <c r="D165" t="s">
        <v>41</v>
      </c>
      <c r="E165" t="s">
        <v>18</v>
      </c>
      <c r="F165" t="s">
        <v>42</v>
      </c>
      <c r="G165" s="8">
        <v>784.24</v>
      </c>
      <c r="H165">
        <v>5</v>
      </c>
      <c r="I165" s="8">
        <v>3921.2</v>
      </c>
      <c r="J165" s="8">
        <v>2600.2199999999998</v>
      </c>
      <c r="K165" s="8">
        <v>1320.98</v>
      </c>
      <c r="L165" t="s">
        <v>38</v>
      </c>
      <c r="M165" t="s">
        <v>28</v>
      </c>
      <c r="N165" t="s">
        <v>29</v>
      </c>
      <c r="O165">
        <v>52</v>
      </c>
      <c r="P165" t="s">
        <v>39</v>
      </c>
      <c r="Q165">
        <v>10</v>
      </c>
    </row>
    <row r="166" spans="1:17" x14ac:dyDescent="0.25">
      <c r="A166" t="s">
        <v>218</v>
      </c>
      <c r="B166" s="1">
        <v>45337</v>
      </c>
      <c r="C166" s="1" t="str">
        <f t="shared" si="2"/>
        <v>Feb</v>
      </c>
      <c r="D166" t="s">
        <v>17</v>
      </c>
      <c r="E166" t="s">
        <v>54</v>
      </c>
      <c r="F166" t="s">
        <v>55</v>
      </c>
      <c r="G166" s="8">
        <v>385.12</v>
      </c>
      <c r="H166">
        <v>4</v>
      </c>
      <c r="I166" s="8">
        <v>1540.48</v>
      </c>
      <c r="J166" s="8">
        <v>1073.99</v>
      </c>
      <c r="K166" s="8">
        <v>466.49</v>
      </c>
      <c r="L166" t="s">
        <v>38</v>
      </c>
      <c r="M166" t="s">
        <v>35</v>
      </c>
      <c r="N166" t="s">
        <v>43</v>
      </c>
      <c r="O166">
        <v>40</v>
      </c>
      <c r="P166" t="s">
        <v>23</v>
      </c>
      <c r="Q166">
        <v>4</v>
      </c>
    </row>
    <row r="167" spans="1:17" x14ac:dyDescent="0.25">
      <c r="A167" t="s">
        <v>219</v>
      </c>
      <c r="B167" s="1">
        <v>45318</v>
      </c>
      <c r="C167" s="1" t="str">
        <f t="shared" si="2"/>
        <v>Jan</v>
      </c>
      <c r="D167" t="s">
        <v>25</v>
      </c>
      <c r="E167" t="s">
        <v>26</v>
      </c>
      <c r="F167" t="s">
        <v>27</v>
      </c>
      <c r="G167" s="8">
        <v>77.069999999999993</v>
      </c>
      <c r="H167">
        <v>1</v>
      </c>
      <c r="I167" s="8">
        <v>77.069999999999993</v>
      </c>
      <c r="J167" s="8">
        <v>45.66</v>
      </c>
      <c r="K167" s="8">
        <v>31.41</v>
      </c>
      <c r="L167" t="s">
        <v>20</v>
      </c>
      <c r="M167" t="s">
        <v>28</v>
      </c>
      <c r="N167" t="s">
        <v>68</v>
      </c>
      <c r="O167">
        <v>34</v>
      </c>
      <c r="P167" t="s">
        <v>23</v>
      </c>
      <c r="Q167">
        <v>10</v>
      </c>
    </row>
    <row r="168" spans="1:17" x14ac:dyDescent="0.25">
      <c r="A168" t="s">
        <v>220</v>
      </c>
      <c r="B168" s="1">
        <v>45642</v>
      </c>
      <c r="C168" s="1" t="str">
        <f t="shared" si="2"/>
        <v>Dec</v>
      </c>
      <c r="D168" t="s">
        <v>45</v>
      </c>
      <c r="E168" t="s">
        <v>18</v>
      </c>
      <c r="F168" t="s">
        <v>64</v>
      </c>
      <c r="G168" s="8">
        <v>389.28</v>
      </c>
      <c r="H168">
        <v>1</v>
      </c>
      <c r="I168" s="8">
        <v>389.28</v>
      </c>
      <c r="J168" s="8">
        <v>275.88</v>
      </c>
      <c r="K168" s="8">
        <v>113.4</v>
      </c>
      <c r="L168" t="s">
        <v>52</v>
      </c>
      <c r="M168" t="s">
        <v>28</v>
      </c>
      <c r="N168" t="s">
        <v>22</v>
      </c>
      <c r="O168">
        <v>37</v>
      </c>
      <c r="P168" t="s">
        <v>23</v>
      </c>
      <c r="Q168">
        <v>7</v>
      </c>
    </row>
    <row r="169" spans="1:17" x14ac:dyDescent="0.25">
      <c r="A169" t="s">
        <v>221</v>
      </c>
      <c r="B169" s="1">
        <v>45747</v>
      </c>
      <c r="C169" s="1" t="str">
        <f t="shared" si="2"/>
        <v>Mar</v>
      </c>
      <c r="D169" t="s">
        <v>41</v>
      </c>
      <c r="E169" t="s">
        <v>18</v>
      </c>
      <c r="F169" t="s">
        <v>42</v>
      </c>
      <c r="G169" s="8">
        <v>810.09</v>
      </c>
      <c r="H169">
        <v>2</v>
      </c>
      <c r="I169" s="8">
        <v>1620.18</v>
      </c>
      <c r="J169" s="8">
        <v>923.65</v>
      </c>
      <c r="K169" s="8">
        <v>696.53</v>
      </c>
      <c r="L169" t="s">
        <v>20</v>
      </c>
      <c r="M169" t="s">
        <v>35</v>
      </c>
      <c r="N169" t="s">
        <v>68</v>
      </c>
      <c r="O169">
        <v>24</v>
      </c>
      <c r="P169" t="s">
        <v>23</v>
      </c>
      <c r="Q169">
        <v>8</v>
      </c>
    </row>
    <row r="170" spans="1:17" x14ac:dyDescent="0.25">
      <c r="A170" t="s">
        <v>222</v>
      </c>
      <c r="B170" s="1">
        <v>45595</v>
      </c>
      <c r="C170" s="1" t="str">
        <f t="shared" si="2"/>
        <v>Oct</v>
      </c>
      <c r="D170" t="s">
        <v>31</v>
      </c>
      <c r="E170" t="s">
        <v>32</v>
      </c>
      <c r="F170" t="s">
        <v>33</v>
      </c>
      <c r="G170" s="8">
        <v>1478.9</v>
      </c>
      <c r="H170">
        <v>1</v>
      </c>
      <c r="I170" s="8">
        <v>1478.9</v>
      </c>
      <c r="J170" s="8">
        <v>951.22</v>
      </c>
      <c r="K170" s="8">
        <v>527.67999999999995</v>
      </c>
      <c r="L170" t="s">
        <v>38</v>
      </c>
      <c r="M170" t="s">
        <v>28</v>
      </c>
      <c r="N170" t="s">
        <v>48</v>
      </c>
      <c r="O170">
        <v>55</v>
      </c>
      <c r="P170" t="s">
        <v>39</v>
      </c>
      <c r="Q170">
        <v>7</v>
      </c>
    </row>
    <row r="171" spans="1:17" x14ac:dyDescent="0.25">
      <c r="A171" t="s">
        <v>223</v>
      </c>
      <c r="B171" s="1">
        <v>45507</v>
      </c>
      <c r="C171" s="1" t="str">
        <f t="shared" si="2"/>
        <v>Aug</v>
      </c>
      <c r="D171" t="s">
        <v>41</v>
      </c>
      <c r="E171" t="s">
        <v>18</v>
      </c>
      <c r="F171" t="s">
        <v>42</v>
      </c>
      <c r="G171" s="8">
        <v>801.37</v>
      </c>
      <c r="H171">
        <v>5</v>
      </c>
      <c r="I171" s="8">
        <v>4006.85</v>
      </c>
      <c r="J171" s="8">
        <v>2908.72</v>
      </c>
      <c r="K171" s="8">
        <v>1098.1300000000001</v>
      </c>
      <c r="L171" t="s">
        <v>34</v>
      </c>
      <c r="M171" t="s">
        <v>35</v>
      </c>
      <c r="N171" t="s">
        <v>43</v>
      </c>
      <c r="O171">
        <v>24</v>
      </c>
      <c r="P171" t="s">
        <v>39</v>
      </c>
      <c r="Q171">
        <v>8</v>
      </c>
    </row>
    <row r="172" spans="1:17" x14ac:dyDescent="0.25">
      <c r="A172" t="s">
        <v>224</v>
      </c>
      <c r="B172" s="1">
        <v>45465</v>
      </c>
      <c r="C172" s="1" t="str">
        <f t="shared" si="2"/>
        <v>Jun</v>
      </c>
      <c r="D172" t="s">
        <v>25</v>
      </c>
      <c r="E172" t="s">
        <v>26</v>
      </c>
      <c r="F172" t="s">
        <v>27</v>
      </c>
      <c r="G172" s="8">
        <v>28.17</v>
      </c>
      <c r="H172">
        <v>4</v>
      </c>
      <c r="I172" s="8">
        <v>112.68</v>
      </c>
      <c r="J172" s="8">
        <v>64.36</v>
      </c>
      <c r="K172" s="8">
        <v>48.32</v>
      </c>
      <c r="L172" t="s">
        <v>38</v>
      </c>
      <c r="M172" t="s">
        <v>21</v>
      </c>
      <c r="N172" t="s">
        <v>29</v>
      </c>
      <c r="O172">
        <v>40</v>
      </c>
      <c r="P172" t="s">
        <v>23</v>
      </c>
      <c r="Q172">
        <v>10</v>
      </c>
    </row>
    <row r="173" spans="1:17" x14ac:dyDescent="0.25">
      <c r="A173" t="s">
        <v>225</v>
      </c>
      <c r="B173" s="1">
        <v>45420</v>
      </c>
      <c r="C173" s="1" t="str">
        <f t="shared" si="2"/>
        <v>May</v>
      </c>
      <c r="D173" t="s">
        <v>17</v>
      </c>
      <c r="E173" t="s">
        <v>54</v>
      </c>
      <c r="F173" t="s">
        <v>55</v>
      </c>
      <c r="G173" s="8">
        <v>375.87</v>
      </c>
      <c r="H173">
        <v>5</v>
      </c>
      <c r="I173" s="8">
        <v>1879.35</v>
      </c>
      <c r="J173" s="8">
        <v>1039.6500000000001</v>
      </c>
      <c r="K173" s="8">
        <v>839.7</v>
      </c>
      <c r="L173" t="s">
        <v>38</v>
      </c>
      <c r="M173" t="s">
        <v>28</v>
      </c>
      <c r="N173" t="s">
        <v>22</v>
      </c>
      <c r="O173">
        <v>33</v>
      </c>
      <c r="P173" t="s">
        <v>23</v>
      </c>
      <c r="Q173">
        <v>7</v>
      </c>
    </row>
    <row r="174" spans="1:17" x14ac:dyDescent="0.25">
      <c r="A174" t="s">
        <v>226</v>
      </c>
      <c r="B174" s="1">
        <v>45865</v>
      </c>
      <c r="C174" s="1" t="str">
        <f t="shared" si="2"/>
        <v>Jul</v>
      </c>
      <c r="D174" t="s">
        <v>17</v>
      </c>
      <c r="E174" t="s">
        <v>54</v>
      </c>
      <c r="F174" t="s">
        <v>55</v>
      </c>
      <c r="G174" s="8">
        <v>407.93</v>
      </c>
      <c r="H174">
        <v>3</v>
      </c>
      <c r="I174" s="8">
        <v>1223.79</v>
      </c>
      <c r="J174" s="8">
        <v>694.45</v>
      </c>
      <c r="K174" s="8">
        <v>529.34</v>
      </c>
      <c r="L174" t="s">
        <v>52</v>
      </c>
      <c r="M174" t="s">
        <v>35</v>
      </c>
      <c r="N174" t="s">
        <v>22</v>
      </c>
      <c r="O174">
        <v>31</v>
      </c>
      <c r="P174" t="s">
        <v>39</v>
      </c>
      <c r="Q174">
        <v>1</v>
      </c>
    </row>
    <row r="175" spans="1:17" x14ac:dyDescent="0.25">
      <c r="A175" t="s">
        <v>227</v>
      </c>
      <c r="B175" s="1">
        <v>45805</v>
      </c>
      <c r="C175" s="1" t="str">
        <f t="shared" si="2"/>
        <v>May</v>
      </c>
      <c r="D175" t="s">
        <v>25</v>
      </c>
      <c r="E175" t="s">
        <v>26</v>
      </c>
      <c r="F175" t="s">
        <v>27</v>
      </c>
      <c r="G175" s="8">
        <v>65.83</v>
      </c>
      <c r="H175">
        <v>5</v>
      </c>
      <c r="I175" s="8">
        <v>329.15</v>
      </c>
      <c r="J175" s="8">
        <v>208.14</v>
      </c>
      <c r="K175" s="8">
        <v>121.01</v>
      </c>
      <c r="L175" t="s">
        <v>20</v>
      </c>
      <c r="M175" t="s">
        <v>28</v>
      </c>
      <c r="N175" t="s">
        <v>68</v>
      </c>
      <c r="O175">
        <v>56</v>
      </c>
      <c r="P175" t="s">
        <v>23</v>
      </c>
      <c r="Q175">
        <v>4</v>
      </c>
    </row>
    <row r="176" spans="1:17" x14ac:dyDescent="0.25">
      <c r="A176" t="s">
        <v>228</v>
      </c>
      <c r="B176" s="1">
        <v>45616</v>
      </c>
      <c r="C176" s="1" t="str">
        <f t="shared" si="2"/>
        <v>Nov</v>
      </c>
      <c r="D176" t="s">
        <v>41</v>
      </c>
      <c r="E176" t="s">
        <v>46</v>
      </c>
      <c r="F176" t="s">
        <v>66</v>
      </c>
      <c r="G176" s="8">
        <v>792.37</v>
      </c>
      <c r="H176">
        <v>5</v>
      </c>
      <c r="I176" s="8">
        <v>3961.85</v>
      </c>
      <c r="J176" s="8">
        <v>2311.69</v>
      </c>
      <c r="K176" s="8">
        <v>1650.16</v>
      </c>
      <c r="L176" t="s">
        <v>52</v>
      </c>
      <c r="M176" t="s">
        <v>28</v>
      </c>
      <c r="N176" t="s">
        <v>68</v>
      </c>
      <c r="O176">
        <v>22</v>
      </c>
      <c r="P176" t="s">
        <v>39</v>
      </c>
      <c r="Q176">
        <v>6</v>
      </c>
    </row>
    <row r="177" spans="1:17" x14ac:dyDescent="0.25">
      <c r="A177" t="s">
        <v>229</v>
      </c>
      <c r="B177" s="1">
        <v>45391</v>
      </c>
      <c r="C177" s="1" t="str">
        <f t="shared" si="2"/>
        <v>Apr</v>
      </c>
      <c r="D177" t="s">
        <v>25</v>
      </c>
      <c r="E177" t="s">
        <v>72</v>
      </c>
      <c r="F177" t="s">
        <v>73</v>
      </c>
      <c r="G177" s="8">
        <v>71.89</v>
      </c>
      <c r="H177">
        <v>3</v>
      </c>
      <c r="I177" s="8">
        <v>215.67</v>
      </c>
      <c r="J177" s="8">
        <v>139.72</v>
      </c>
      <c r="K177" s="8">
        <v>75.95</v>
      </c>
      <c r="L177" t="s">
        <v>20</v>
      </c>
      <c r="M177" t="s">
        <v>35</v>
      </c>
      <c r="N177" t="s">
        <v>43</v>
      </c>
      <c r="O177">
        <v>43</v>
      </c>
      <c r="P177" t="s">
        <v>39</v>
      </c>
      <c r="Q177">
        <v>2</v>
      </c>
    </row>
    <row r="178" spans="1:17" x14ac:dyDescent="0.25">
      <c r="A178" t="s">
        <v>230</v>
      </c>
      <c r="B178" s="1">
        <v>45631</v>
      </c>
      <c r="C178" s="1" t="str">
        <f t="shared" si="2"/>
        <v>Dec</v>
      </c>
      <c r="D178" t="s">
        <v>17</v>
      </c>
      <c r="E178" t="s">
        <v>18</v>
      </c>
      <c r="F178" t="s">
        <v>19</v>
      </c>
      <c r="G178" s="8">
        <v>406.77</v>
      </c>
      <c r="H178">
        <v>1</v>
      </c>
      <c r="I178" s="8">
        <v>406.77</v>
      </c>
      <c r="J178" s="8">
        <v>306.5</v>
      </c>
      <c r="K178" s="8">
        <v>100.27</v>
      </c>
      <c r="L178" t="s">
        <v>38</v>
      </c>
      <c r="M178" t="s">
        <v>28</v>
      </c>
      <c r="N178" t="s">
        <v>36</v>
      </c>
      <c r="O178">
        <v>42</v>
      </c>
      <c r="P178" t="s">
        <v>39</v>
      </c>
      <c r="Q178">
        <v>10</v>
      </c>
    </row>
    <row r="179" spans="1:17" x14ac:dyDescent="0.25">
      <c r="A179" t="s">
        <v>231</v>
      </c>
      <c r="B179" s="1">
        <v>45575</v>
      </c>
      <c r="C179" s="1" t="str">
        <f t="shared" si="2"/>
        <v>Oct</v>
      </c>
      <c r="D179" t="s">
        <v>17</v>
      </c>
      <c r="E179" t="s">
        <v>54</v>
      </c>
      <c r="F179" t="s">
        <v>55</v>
      </c>
      <c r="G179" s="8">
        <v>345.96</v>
      </c>
      <c r="H179">
        <v>5</v>
      </c>
      <c r="I179" s="8">
        <v>1729.8</v>
      </c>
      <c r="J179" s="8">
        <v>1109.0899999999999</v>
      </c>
      <c r="K179" s="8">
        <v>620.71</v>
      </c>
      <c r="L179" t="s">
        <v>20</v>
      </c>
      <c r="M179" t="s">
        <v>28</v>
      </c>
      <c r="N179" t="s">
        <v>29</v>
      </c>
      <c r="O179">
        <v>46</v>
      </c>
      <c r="P179" t="s">
        <v>39</v>
      </c>
      <c r="Q179">
        <v>2</v>
      </c>
    </row>
    <row r="180" spans="1:17" x14ac:dyDescent="0.25">
      <c r="A180" t="s">
        <v>232</v>
      </c>
      <c r="B180" s="1">
        <v>45666</v>
      </c>
      <c r="C180" s="1" t="str">
        <f t="shared" si="2"/>
        <v>Jan</v>
      </c>
      <c r="D180" t="s">
        <v>41</v>
      </c>
      <c r="E180" t="s">
        <v>46</v>
      </c>
      <c r="F180" t="s">
        <v>66</v>
      </c>
      <c r="G180" s="8">
        <v>801.07</v>
      </c>
      <c r="H180">
        <v>3</v>
      </c>
      <c r="I180" s="8">
        <v>2403.21</v>
      </c>
      <c r="J180" s="8">
        <v>1814.49</v>
      </c>
      <c r="K180" s="8">
        <v>588.72</v>
      </c>
      <c r="L180" t="s">
        <v>38</v>
      </c>
      <c r="M180" t="s">
        <v>21</v>
      </c>
      <c r="N180" t="s">
        <v>43</v>
      </c>
      <c r="O180">
        <v>35</v>
      </c>
      <c r="P180" t="s">
        <v>23</v>
      </c>
      <c r="Q180">
        <v>6</v>
      </c>
    </row>
    <row r="181" spans="1:17" x14ac:dyDescent="0.25">
      <c r="A181" t="s">
        <v>233</v>
      </c>
      <c r="B181" s="1">
        <v>45859</v>
      </c>
      <c r="C181" s="1" t="str">
        <f t="shared" si="2"/>
        <v>Jul</v>
      </c>
      <c r="D181" t="s">
        <v>25</v>
      </c>
      <c r="E181" t="s">
        <v>72</v>
      </c>
      <c r="F181" t="s">
        <v>73</v>
      </c>
      <c r="G181" s="8">
        <v>65.56</v>
      </c>
      <c r="H181">
        <v>3</v>
      </c>
      <c r="I181" s="8">
        <v>196.68</v>
      </c>
      <c r="J181" s="8">
        <v>121.63</v>
      </c>
      <c r="K181" s="8">
        <v>75.05</v>
      </c>
      <c r="L181" t="s">
        <v>34</v>
      </c>
      <c r="M181" t="s">
        <v>21</v>
      </c>
      <c r="N181" t="s">
        <v>43</v>
      </c>
      <c r="O181">
        <v>23</v>
      </c>
      <c r="P181" t="s">
        <v>23</v>
      </c>
      <c r="Q181">
        <v>4</v>
      </c>
    </row>
    <row r="182" spans="1:17" x14ac:dyDescent="0.25">
      <c r="A182" t="s">
        <v>234</v>
      </c>
      <c r="B182" s="1">
        <v>45526</v>
      </c>
      <c r="C182" s="1" t="str">
        <f t="shared" si="2"/>
        <v>Aug</v>
      </c>
      <c r="D182" t="s">
        <v>17</v>
      </c>
      <c r="E182" t="s">
        <v>54</v>
      </c>
      <c r="F182" t="s">
        <v>55</v>
      </c>
      <c r="G182" s="8">
        <v>424.7</v>
      </c>
      <c r="H182">
        <v>1</v>
      </c>
      <c r="I182" s="8">
        <v>424.7</v>
      </c>
      <c r="J182" s="8">
        <v>267.02</v>
      </c>
      <c r="K182" s="8">
        <v>157.68</v>
      </c>
      <c r="L182" t="s">
        <v>38</v>
      </c>
      <c r="M182" t="s">
        <v>21</v>
      </c>
      <c r="N182" t="s">
        <v>36</v>
      </c>
      <c r="O182">
        <v>21</v>
      </c>
      <c r="P182" t="s">
        <v>39</v>
      </c>
      <c r="Q182">
        <v>2</v>
      </c>
    </row>
    <row r="183" spans="1:17" x14ac:dyDescent="0.25">
      <c r="A183" t="s">
        <v>235</v>
      </c>
      <c r="B183" s="1">
        <v>45823</v>
      </c>
      <c r="C183" s="1" t="str">
        <f t="shared" si="2"/>
        <v>Jun</v>
      </c>
      <c r="D183" t="s">
        <v>45</v>
      </c>
      <c r="E183" t="s">
        <v>18</v>
      </c>
      <c r="F183" t="s">
        <v>64</v>
      </c>
      <c r="G183" s="8">
        <v>385.59</v>
      </c>
      <c r="H183">
        <v>2</v>
      </c>
      <c r="I183" s="8">
        <v>771.18</v>
      </c>
      <c r="J183" s="8">
        <v>466.63</v>
      </c>
      <c r="K183" s="8">
        <v>304.55</v>
      </c>
      <c r="L183" t="s">
        <v>52</v>
      </c>
      <c r="M183" t="s">
        <v>35</v>
      </c>
      <c r="N183" t="s">
        <v>22</v>
      </c>
      <c r="O183">
        <v>20</v>
      </c>
      <c r="P183" t="s">
        <v>39</v>
      </c>
      <c r="Q183">
        <v>7</v>
      </c>
    </row>
    <row r="184" spans="1:17" x14ac:dyDescent="0.25">
      <c r="A184" t="s">
        <v>236</v>
      </c>
      <c r="B184" s="1">
        <v>45664</v>
      </c>
      <c r="C184" s="1" t="str">
        <f t="shared" si="2"/>
        <v>Jan</v>
      </c>
      <c r="D184" t="s">
        <v>31</v>
      </c>
      <c r="E184" t="s">
        <v>18</v>
      </c>
      <c r="F184" t="s">
        <v>58</v>
      </c>
      <c r="G184" s="8">
        <v>1499.4</v>
      </c>
      <c r="H184">
        <v>1</v>
      </c>
      <c r="I184" s="8">
        <v>1499.4</v>
      </c>
      <c r="J184" s="8">
        <v>967.03</v>
      </c>
      <c r="K184" s="8">
        <v>532.37</v>
      </c>
      <c r="L184" t="s">
        <v>20</v>
      </c>
      <c r="M184" t="s">
        <v>28</v>
      </c>
      <c r="N184" t="s">
        <v>48</v>
      </c>
      <c r="O184">
        <v>42</v>
      </c>
      <c r="P184" t="s">
        <v>39</v>
      </c>
      <c r="Q184">
        <v>8</v>
      </c>
    </row>
    <row r="185" spans="1:17" x14ac:dyDescent="0.25">
      <c r="A185" t="s">
        <v>237</v>
      </c>
      <c r="B185" s="1">
        <v>45700</v>
      </c>
      <c r="C185" s="1" t="str">
        <f t="shared" si="2"/>
        <v>Feb</v>
      </c>
      <c r="D185" t="s">
        <v>17</v>
      </c>
      <c r="E185" t="s">
        <v>18</v>
      </c>
      <c r="F185" t="s">
        <v>19</v>
      </c>
      <c r="G185" s="8">
        <v>427.54</v>
      </c>
      <c r="H185">
        <v>2</v>
      </c>
      <c r="I185" s="8">
        <v>855.08</v>
      </c>
      <c r="J185" s="8">
        <v>542.08000000000004</v>
      </c>
      <c r="K185" s="8">
        <v>313</v>
      </c>
      <c r="L185" t="s">
        <v>20</v>
      </c>
      <c r="M185" t="s">
        <v>35</v>
      </c>
      <c r="N185" t="s">
        <v>22</v>
      </c>
      <c r="O185">
        <v>39</v>
      </c>
      <c r="P185" t="s">
        <v>39</v>
      </c>
      <c r="Q185">
        <v>3</v>
      </c>
    </row>
    <row r="186" spans="1:17" x14ac:dyDescent="0.25">
      <c r="A186" t="s">
        <v>238</v>
      </c>
      <c r="B186" s="1">
        <v>45666</v>
      </c>
      <c r="C186" s="1" t="str">
        <f t="shared" si="2"/>
        <v>Jan</v>
      </c>
      <c r="D186" t="s">
        <v>45</v>
      </c>
      <c r="E186" t="s">
        <v>46</v>
      </c>
      <c r="F186" t="s">
        <v>47</v>
      </c>
      <c r="G186" s="8">
        <v>380.09</v>
      </c>
      <c r="H186">
        <v>3</v>
      </c>
      <c r="I186" s="8">
        <v>1140.27</v>
      </c>
      <c r="J186" s="8">
        <v>847.14</v>
      </c>
      <c r="K186" s="8">
        <v>293.13</v>
      </c>
      <c r="L186" t="s">
        <v>38</v>
      </c>
      <c r="M186" t="s">
        <v>21</v>
      </c>
      <c r="N186" t="s">
        <v>22</v>
      </c>
      <c r="O186">
        <v>65</v>
      </c>
      <c r="P186" t="s">
        <v>39</v>
      </c>
      <c r="Q186">
        <v>9</v>
      </c>
    </row>
    <row r="187" spans="1:17" x14ac:dyDescent="0.25">
      <c r="A187" t="s">
        <v>239</v>
      </c>
      <c r="B187" s="1">
        <v>45826</v>
      </c>
      <c r="C187" s="1" t="str">
        <f t="shared" si="2"/>
        <v>Jun</v>
      </c>
      <c r="D187" t="s">
        <v>45</v>
      </c>
      <c r="E187" t="s">
        <v>46</v>
      </c>
      <c r="F187" t="s">
        <v>47</v>
      </c>
      <c r="G187" s="8">
        <v>409.11</v>
      </c>
      <c r="H187">
        <v>5</v>
      </c>
      <c r="I187" s="8">
        <v>2045.55</v>
      </c>
      <c r="J187" s="8">
        <v>1628.12</v>
      </c>
      <c r="K187" s="8">
        <v>417.43</v>
      </c>
      <c r="L187" t="s">
        <v>38</v>
      </c>
      <c r="M187" t="s">
        <v>28</v>
      </c>
      <c r="N187" t="s">
        <v>43</v>
      </c>
      <c r="O187">
        <v>35</v>
      </c>
      <c r="P187" t="s">
        <v>39</v>
      </c>
      <c r="Q187">
        <v>2</v>
      </c>
    </row>
    <row r="188" spans="1:17" x14ac:dyDescent="0.25">
      <c r="A188" t="s">
        <v>240</v>
      </c>
      <c r="B188" s="1">
        <v>45473</v>
      </c>
      <c r="C188" s="1" t="str">
        <f t="shared" si="2"/>
        <v>Jun</v>
      </c>
      <c r="D188" t="s">
        <v>25</v>
      </c>
      <c r="E188" t="s">
        <v>72</v>
      </c>
      <c r="F188" t="s">
        <v>73</v>
      </c>
      <c r="G188" s="8">
        <v>62.86</v>
      </c>
      <c r="H188">
        <v>4</v>
      </c>
      <c r="I188" s="8">
        <v>251.44</v>
      </c>
      <c r="J188" s="8">
        <v>200.87</v>
      </c>
      <c r="K188" s="8">
        <v>50.57</v>
      </c>
      <c r="L188" t="s">
        <v>34</v>
      </c>
      <c r="M188" t="s">
        <v>21</v>
      </c>
      <c r="N188" t="s">
        <v>68</v>
      </c>
      <c r="O188">
        <v>32</v>
      </c>
      <c r="P188" t="s">
        <v>39</v>
      </c>
      <c r="Q188">
        <v>7</v>
      </c>
    </row>
    <row r="189" spans="1:17" x14ac:dyDescent="0.25">
      <c r="A189" t="s">
        <v>241</v>
      </c>
      <c r="B189" s="1">
        <v>45390</v>
      </c>
      <c r="C189" s="1" t="str">
        <f t="shared" si="2"/>
        <v>Apr</v>
      </c>
      <c r="D189" t="s">
        <v>17</v>
      </c>
      <c r="E189" t="s">
        <v>54</v>
      </c>
      <c r="F189" t="s">
        <v>55</v>
      </c>
      <c r="G189" s="8">
        <v>399.65</v>
      </c>
      <c r="H189">
        <v>3</v>
      </c>
      <c r="I189" s="8">
        <v>1198.95</v>
      </c>
      <c r="J189" s="8">
        <v>874.86</v>
      </c>
      <c r="K189" s="8">
        <v>324.08999999999997</v>
      </c>
      <c r="L189" t="s">
        <v>38</v>
      </c>
      <c r="M189" t="s">
        <v>28</v>
      </c>
      <c r="N189" t="s">
        <v>29</v>
      </c>
      <c r="O189">
        <v>35</v>
      </c>
      <c r="P189" t="s">
        <v>23</v>
      </c>
      <c r="Q189">
        <v>10</v>
      </c>
    </row>
    <row r="190" spans="1:17" x14ac:dyDescent="0.25">
      <c r="A190" t="s">
        <v>242</v>
      </c>
      <c r="B190" s="1">
        <v>45713</v>
      </c>
      <c r="C190" s="1" t="str">
        <f t="shared" si="2"/>
        <v>Feb</v>
      </c>
      <c r="D190" t="s">
        <v>17</v>
      </c>
      <c r="E190" t="s">
        <v>18</v>
      </c>
      <c r="F190" t="s">
        <v>19</v>
      </c>
      <c r="G190" s="8">
        <v>419.59</v>
      </c>
      <c r="H190">
        <v>5</v>
      </c>
      <c r="I190" s="8">
        <v>2097.9499999999998</v>
      </c>
      <c r="J190" s="8">
        <v>1443.52</v>
      </c>
      <c r="K190" s="8">
        <v>654.42999999999995</v>
      </c>
      <c r="L190" t="s">
        <v>34</v>
      </c>
      <c r="M190" t="s">
        <v>35</v>
      </c>
      <c r="N190" t="s">
        <v>29</v>
      </c>
      <c r="O190">
        <v>66</v>
      </c>
      <c r="P190" t="s">
        <v>23</v>
      </c>
      <c r="Q190">
        <v>6</v>
      </c>
    </row>
    <row r="191" spans="1:17" x14ac:dyDescent="0.25">
      <c r="A191" t="s">
        <v>243</v>
      </c>
      <c r="B191" s="1">
        <v>45825</v>
      </c>
      <c r="C191" s="1" t="str">
        <f t="shared" si="2"/>
        <v>Jun</v>
      </c>
      <c r="D191" t="s">
        <v>31</v>
      </c>
      <c r="E191" t="s">
        <v>50</v>
      </c>
      <c r="F191" t="s">
        <v>51</v>
      </c>
      <c r="G191" s="8">
        <v>1479.51</v>
      </c>
      <c r="H191">
        <v>1</v>
      </c>
      <c r="I191" s="8">
        <v>1479.51</v>
      </c>
      <c r="J191" s="8">
        <v>1160.81</v>
      </c>
      <c r="K191" s="8">
        <v>318.7</v>
      </c>
      <c r="L191" t="s">
        <v>20</v>
      </c>
      <c r="M191" t="s">
        <v>21</v>
      </c>
      <c r="N191" t="s">
        <v>22</v>
      </c>
      <c r="O191">
        <v>28</v>
      </c>
      <c r="P191" t="s">
        <v>39</v>
      </c>
      <c r="Q191">
        <v>6</v>
      </c>
    </row>
    <row r="192" spans="1:17" x14ac:dyDescent="0.25">
      <c r="A192" t="s">
        <v>244</v>
      </c>
      <c r="B192" s="1">
        <v>45586</v>
      </c>
      <c r="C192" s="1" t="str">
        <f t="shared" si="2"/>
        <v>Oct</v>
      </c>
      <c r="D192" t="s">
        <v>25</v>
      </c>
      <c r="E192" t="s">
        <v>72</v>
      </c>
      <c r="F192" t="s">
        <v>73</v>
      </c>
      <c r="G192" s="8">
        <v>75.89</v>
      </c>
      <c r="H192">
        <v>3</v>
      </c>
      <c r="I192" s="8">
        <v>227.67</v>
      </c>
      <c r="J192" s="8">
        <v>139.86000000000001</v>
      </c>
      <c r="K192" s="8">
        <v>87.81</v>
      </c>
      <c r="L192" t="s">
        <v>52</v>
      </c>
      <c r="M192" t="s">
        <v>35</v>
      </c>
      <c r="N192" t="s">
        <v>22</v>
      </c>
      <c r="O192">
        <v>22</v>
      </c>
      <c r="P192" t="s">
        <v>39</v>
      </c>
      <c r="Q192">
        <v>4</v>
      </c>
    </row>
    <row r="193" spans="1:17" x14ac:dyDescent="0.25">
      <c r="A193" t="s">
        <v>245</v>
      </c>
      <c r="B193" s="1">
        <v>45689</v>
      </c>
      <c r="C193" s="1" t="str">
        <f t="shared" si="2"/>
        <v>Feb</v>
      </c>
      <c r="D193" t="s">
        <v>25</v>
      </c>
      <c r="E193" t="s">
        <v>26</v>
      </c>
      <c r="F193" t="s">
        <v>27</v>
      </c>
      <c r="G193" s="8">
        <v>84.91</v>
      </c>
      <c r="H193">
        <v>2</v>
      </c>
      <c r="I193" s="8">
        <v>169.82</v>
      </c>
      <c r="J193" s="8">
        <v>112.67</v>
      </c>
      <c r="K193" s="8">
        <v>57.15</v>
      </c>
      <c r="L193" t="s">
        <v>20</v>
      </c>
      <c r="M193" t="s">
        <v>35</v>
      </c>
      <c r="N193" t="s">
        <v>43</v>
      </c>
      <c r="O193">
        <v>29</v>
      </c>
      <c r="P193" t="s">
        <v>23</v>
      </c>
      <c r="Q193">
        <v>4</v>
      </c>
    </row>
    <row r="194" spans="1:17" x14ac:dyDescent="0.25">
      <c r="A194" t="s">
        <v>246</v>
      </c>
      <c r="B194" s="1">
        <v>45441</v>
      </c>
      <c r="C194" s="1" t="str">
        <f t="shared" si="2"/>
        <v>May</v>
      </c>
      <c r="D194" t="s">
        <v>31</v>
      </c>
      <c r="E194" t="s">
        <v>50</v>
      </c>
      <c r="F194" t="s">
        <v>51</v>
      </c>
      <c r="G194" s="8">
        <v>1493.67</v>
      </c>
      <c r="H194">
        <v>1</v>
      </c>
      <c r="I194" s="8">
        <v>1493.67</v>
      </c>
      <c r="J194" s="8">
        <v>907.64</v>
      </c>
      <c r="K194" s="8">
        <v>586.03</v>
      </c>
      <c r="L194" t="s">
        <v>38</v>
      </c>
      <c r="M194" t="s">
        <v>35</v>
      </c>
      <c r="N194" t="s">
        <v>68</v>
      </c>
      <c r="O194">
        <v>57</v>
      </c>
      <c r="P194" t="s">
        <v>39</v>
      </c>
      <c r="Q194">
        <v>4</v>
      </c>
    </row>
    <row r="195" spans="1:17" x14ac:dyDescent="0.25">
      <c r="A195" t="s">
        <v>247</v>
      </c>
      <c r="B195" s="1">
        <v>45745</v>
      </c>
      <c r="C195" s="1" t="str">
        <f t="shared" ref="C195:C201" si="3">TEXT(B195,"mmm")</f>
        <v>Mar</v>
      </c>
      <c r="D195" t="s">
        <v>31</v>
      </c>
      <c r="E195" t="s">
        <v>32</v>
      </c>
      <c r="F195" t="s">
        <v>33</v>
      </c>
      <c r="G195" s="8">
        <v>1504.23</v>
      </c>
      <c r="H195">
        <v>3</v>
      </c>
      <c r="I195" s="8">
        <v>4512.6899999999996</v>
      </c>
      <c r="J195" s="8">
        <v>3290.19</v>
      </c>
      <c r="K195" s="8">
        <v>1222.5</v>
      </c>
      <c r="L195" t="s">
        <v>52</v>
      </c>
      <c r="M195" t="s">
        <v>21</v>
      </c>
      <c r="N195" t="s">
        <v>36</v>
      </c>
      <c r="O195">
        <v>21</v>
      </c>
      <c r="P195" t="s">
        <v>23</v>
      </c>
      <c r="Q195">
        <v>9</v>
      </c>
    </row>
    <row r="196" spans="1:17" x14ac:dyDescent="0.25">
      <c r="A196" t="s">
        <v>248</v>
      </c>
      <c r="B196" s="1">
        <v>45837</v>
      </c>
      <c r="C196" s="1" t="str">
        <f t="shared" si="3"/>
        <v>Jun</v>
      </c>
      <c r="D196" t="s">
        <v>31</v>
      </c>
      <c r="E196" t="s">
        <v>32</v>
      </c>
      <c r="F196" t="s">
        <v>33</v>
      </c>
      <c r="G196" s="8">
        <v>1479.83</v>
      </c>
      <c r="H196">
        <v>1</v>
      </c>
      <c r="I196" s="8">
        <v>1479.83</v>
      </c>
      <c r="J196" s="8">
        <v>857.18</v>
      </c>
      <c r="K196" s="8">
        <v>622.65</v>
      </c>
      <c r="L196" t="s">
        <v>34</v>
      </c>
      <c r="M196" t="s">
        <v>28</v>
      </c>
      <c r="N196" t="s">
        <v>36</v>
      </c>
      <c r="O196">
        <v>33</v>
      </c>
      <c r="P196" t="s">
        <v>23</v>
      </c>
      <c r="Q196">
        <v>10</v>
      </c>
    </row>
    <row r="197" spans="1:17" x14ac:dyDescent="0.25">
      <c r="A197" t="s">
        <v>249</v>
      </c>
      <c r="B197" s="1">
        <v>45422</v>
      </c>
      <c r="C197" s="1" t="str">
        <f t="shared" si="3"/>
        <v>May</v>
      </c>
      <c r="D197" t="s">
        <v>31</v>
      </c>
      <c r="E197" t="s">
        <v>18</v>
      </c>
      <c r="F197" t="s">
        <v>58</v>
      </c>
      <c r="G197" s="8">
        <v>1500.45</v>
      </c>
      <c r="H197">
        <v>5</v>
      </c>
      <c r="I197" s="8">
        <v>7502.25</v>
      </c>
      <c r="J197" s="8">
        <v>4766.45</v>
      </c>
      <c r="K197" s="8">
        <v>2735.8</v>
      </c>
      <c r="L197" t="s">
        <v>52</v>
      </c>
      <c r="M197" t="s">
        <v>28</v>
      </c>
      <c r="N197" t="s">
        <v>36</v>
      </c>
      <c r="O197">
        <v>50</v>
      </c>
      <c r="P197" t="s">
        <v>23</v>
      </c>
      <c r="Q197">
        <v>8</v>
      </c>
    </row>
    <row r="198" spans="1:17" x14ac:dyDescent="0.25">
      <c r="A198" t="s">
        <v>250</v>
      </c>
      <c r="B198" s="1">
        <v>45304</v>
      </c>
      <c r="C198" s="1" t="str">
        <f t="shared" si="3"/>
        <v>Jan</v>
      </c>
      <c r="D198" t="s">
        <v>25</v>
      </c>
      <c r="E198" t="s">
        <v>26</v>
      </c>
      <c r="F198" t="s">
        <v>27</v>
      </c>
      <c r="G198" s="8">
        <v>96.21</v>
      </c>
      <c r="H198">
        <v>3</v>
      </c>
      <c r="I198" s="8">
        <v>288.63</v>
      </c>
      <c r="J198" s="8">
        <v>210.48</v>
      </c>
      <c r="K198" s="8">
        <v>78.150000000000006</v>
      </c>
      <c r="L198" t="s">
        <v>52</v>
      </c>
      <c r="M198" t="s">
        <v>28</v>
      </c>
      <c r="N198" t="s">
        <v>43</v>
      </c>
      <c r="O198">
        <v>33</v>
      </c>
      <c r="P198" t="s">
        <v>23</v>
      </c>
      <c r="Q198">
        <v>5</v>
      </c>
    </row>
    <row r="199" spans="1:17" x14ac:dyDescent="0.25">
      <c r="A199" t="s">
        <v>251</v>
      </c>
      <c r="B199" s="1">
        <v>45437</v>
      </c>
      <c r="C199" s="1" t="str">
        <f t="shared" si="3"/>
        <v>May</v>
      </c>
      <c r="D199" t="s">
        <v>17</v>
      </c>
      <c r="E199" t="s">
        <v>54</v>
      </c>
      <c r="F199" t="s">
        <v>55</v>
      </c>
      <c r="G199" s="8">
        <v>399.38</v>
      </c>
      <c r="H199">
        <v>1</v>
      </c>
      <c r="I199" s="8">
        <v>399.38</v>
      </c>
      <c r="J199" s="8">
        <v>231.21</v>
      </c>
      <c r="K199" s="8">
        <v>168.17</v>
      </c>
      <c r="L199" t="s">
        <v>20</v>
      </c>
      <c r="M199" t="s">
        <v>21</v>
      </c>
      <c r="N199" t="s">
        <v>36</v>
      </c>
      <c r="O199">
        <v>20</v>
      </c>
      <c r="P199" t="s">
        <v>39</v>
      </c>
      <c r="Q199">
        <v>3</v>
      </c>
    </row>
    <row r="200" spans="1:17" x14ac:dyDescent="0.25">
      <c r="A200" t="s">
        <v>252</v>
      </c>
      <c r="B200" s="1">
        <v>45706</v>
      </c>
      <c r="C200" s="1" t="str">
        <f t="shared" si="3"/>
        <v>Feb</v>
      </c>
      <c r="D200" t="s">
        <v>25</v>
      </c>
      <c r="E200" t="s">
        <v>72</v>
      </c>
      <c r="F200" t="s">
        <v>73</v>
      </c>
      <c r="G200" s="8">
        <v>45.01</v>
      </c>
      <c r="H200">
        <v>4</v>
      </c>
      <c r="I200" s="8">
        <v>180.04</v>
      </c>
      <c r="J200" s="8">
        <v>130.15</v>
      </c>
      <c r="K200" s="8">
        <v>49.89</v>
      </c>
      <c r="L200" t="s">
        <v>38</v>
      </c>
      <c r="M200" t="s">
        <v>21</v>
      </c>
      <c r="N200" t="s">
        <v>68</v>
      </c>
      <c r="O200">
        <v>58</v>
      </c>
      <c r="P200" t="s">
        <v>23</v>
      </c>
      <c r="Q200">
        <v>7</v>
      </c>
    </row>
    <row r="201" spans="1:17" x14ac:dyDescent="0.25">
      <c r="A201" t="s">
        <v>253</v>
      </c>
      <c r="B201" s="1">
        <v>45715</v>
      </c>
      <c r="C201" s="1" t="str">
        <f t="shared" si="3"/>
        <v>Feb</v>
      </c>
      <c r="D201" t="s">
        <v>41</v>
      </c>
      <c r="E201" t="s">
        <v>46</v>
      </c>
      <c r="F201" t="s">
        <v>66</v>
      </c>
      <c r="G201" s="8">
        <v>773.45</v>
      </c>
      <c r="H201">
        <v>4</v>
      </c>
      <c r="I201" s="8">
        <v>3093.8</v>
      </c>
      <c r="J201" s="8">
        <v>2068.15</v>
      </c>
      <c r="K201" s="8">
        <v>1025.6500000000001</v>
      </c>
      <c r="L201" t="s">
        <v>20</v>
      </c>
      <c r="M201" t="s">
        <v>35</v>
      </c>
      <c r="N201" t="s">
        <v>68</v>
      </c>
      <c r="O201">
        <v>32</v>
      </c>
      <c r="P201" t="s">
        <v>39</v>
      </c>
      <c r="Q201">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C9FC-4E17-4F1A-BBFC-C5B52F2FD643}">
  <dimension ref="A1:I33"/>
  <sheetViews>
    <sheetView zoomScale="62" workbookViewId="0">
      <selection activeCell="I27" sqref="I27"/>
    </sheetView>
  </sheetViews>
  <sheetFormatPr defaultRowHeight="15" x14ac:dyDescent="0.25"/>
  <cols>
    <col min="1" max="1" width="14.28515625" bestFit="1" customWidth="1"/>
    <col min="2" max="2" width="18" bestFit="1" customWidth="1"/>
    <col min="4" max="4" width="24.85546875" bestFit="1" customWidth="1"/>
    <col min="5" max="5" width="25.42578125" bestFit="1" customWidth="1"/>
    <col min="6" max="6" width="21.140625" bestFit="1" customWidth="1"/>
    <col min="7" max="7" width="26.42578125" bestFit="1" customWidth="1"/>
    <col min="8" max="9" width="18.28515625" bestFit="1" customWidth="1"/>
    <col min="10" max="13" width="14.140625" bestFit="1" customWidth="1"/>
    <col min="14" max="14" width="13.7109375" bestFit="1" customWidth="1"/>
    <col min="15" max="15" width="13.28515625" bestFit="1" customWidth="1"/>
    <col min="16" max="23" width="13.7109375" bestFit="1" customWidth="1"/>
    <col min="24" max="24" width="14.140625" bestFit="1" customWidth="1"/>
    <col min="25" max="25" width="13.7109375" bestFit="1" customWidth="1"/>
    <col min="26" max="34" width="14.140625" bestFit="1" customWidth="1"/>
    <col min="35" max="35" width="13.7109375" bestFit="1" customWidth="1"/>
    <col min="36" max="44" width="14.140625" bestFit="1" customWidth="1"/>
    <col min="45" max="45" width="13.7109375" bestFit="1" customWidth="1"/>
    <col min="46" max="54" width="14.140625" bestFit="1" customWidth="1"/>
    <col min="55" max="55" width="13.7109375" bestFit="1" customWidth="1"/>
    <col min="56" max="64" width="14.140625" bestFit="1" customWidth="1"/>
    <col min="65" max="65" width="13.7109375" bestFit="1" customWidth="1"/>
    <col min="66" max="74" width="14.140625" bestFit="1" customWidth="1"/>
    <col min="75" max="75" width="13.7109375" bestFit="1" customWidth="1"/>
    <col min="76" max="84" width="14.140625" bestFit="1" customWidth="1"/>
    <col min="85" max="85" width="13.7109375" bestFit="1" customWidth="1"/>
    <col min="86" max="94" width="14.140625" bestFit="1" customWidth="1"/>
    <col min="95" max="95" width="13.7109375" bestFit="1" customWidth="1"/>
    <col min="96" max="103" width="14.140625" bestFit="1" customWidth="1"/>
    <col min="104" max="104" width="13.7109375" bestFit="1" customWidth="1"/>
    <col min="105" max="105" width="13.28515625" bestFit="1" customWidth="1"/>
    <col min="106" max="113" width="13.7109375" bestFit="1" customWidth="1"/>
    <col min="114" max="114" width="13.28515625" bestFit="1" customWidth="1"/>
    <col min="115" max="115" width="12.7109375" bestFit="1" customWidth="1"/>
    <col min="116" max="123" width="13.28515625" bestFit="1" customWidth="1"/>
    <col min="124" max="124" width="13.7109375" bestFit="1" customWidth="1"/>
    <col min="125" max="125" width="13.28515625" bestFit="1" customWidth="1"/>
    <col min="126" max="134" width="13.7109375" bestFit="1" customWidth="1"/>
    <col min="135" max="135" width="13.28515625" bestFit="1" customWidth="1"/>
    <col min="136" max="144" width="13.7109375" bestFit="1" customWidth="1"/>
    <col min="145" max="145" width="13.28515625" bestFit="1" customWidth="1"/>
    <col min="146" max="154" width="13.7109375" bestFit="1" customWidth="1"/>
    <col min="155" max="155" width="13.28515625" bestFit="1" customWidth="1"/>
    <col min="156" max="164" width="13.7109375" bestFit="1" customWidth="1"/>
    <col min="165" max="165" width="13.28515625" bestFit="1" customWidth="1"/>
    <col min="166" max="174" width="13.7109375" bestFit="1" customWidth="1"/>
    <col min="175" max="175" width="13.28515625" bestFit="1" customWidth="1"/>
    <col min="176" max="184" width="13.7109375" bestFit="1" customWidth="1"/>
    <col min="185" max="185" width="13.28515625" bestFit="1" customWidth="1"/>
    <col min="186" max="194" width="13.7109375" bestFit="1" customWidth="1"/>
    <col min="195" max="195" width="13.28515625" bestFit="1" customWidth="1"/>
    <col min="196" max="203" width="13.7109375" bestFit="1" customWidth="1"/>
    <col min="204" max="204" width="14.140625" bestFit="1" customWidth="1"/>
    <col min="205" max="205" width="16.85546875" bestFit="1" customWidth="1"/>
  </cols>
  <sheetData>
    <row r="1" spans="1:8" x14ac:dyDescent="0.25">
      <c r="A1" s="4" t="s">
        <v>256</v>
      </c>
      <c r="B1" t="s">
        <v>255</v>
      </c>
      <c r="D1" s="4" t="s">
        <v>256</v>
      </c>
      <c r="E1" t="s">
        <v>255</v>
      </c>
      <c r="G1" s="4" t="s">
        <v>256</v>
      </c>
      <c r="H1" t="s">
        <v>255</v>
      </c>
    </row>
    <row r="2" spans="1:8" x14ac:dyDescent="0.25">
      <c r="A2" s="5" t="s">
        <v>29</v>
      </c>
      <c r="B2" s="7">
        <v>57831.28</v>
      </c>
      <c r="D2" s="5" t="s">
        <v>23</v>
      </c>
      <c r="E2" s="7">
        <v>202168.55</v>
      </c>
      <c r="G2" s="5" t="s">
        <v>31</v>
      </c>
      <c r="H2" s="7">
        <v>214058.21</v>
      </c>
    </row>
    <row r="3" spans="1:8" x14ac:dyDescent="0.25">
      <c r="A3" s="5" t="s">
        <v>43</v>
      </c>
      <c r="B3" s="7">
        <v>82126.14</v>
      </c>
      <c r="D3" s="5" t="s">
        <v>39</v>
      </c>
      <c r="E3" s="7">
        <v>219330.72</v>
      </c>
      <c r="G3" s="5" t="s">
        <v>41</v>
      </c>
      <c r="H3" s="7">
        <v>105545.61</v>
      </c>
    </row>
    <row r="4" spans="1:8" x14ac:dyDescent="0.25">
      <c r="A4" s="5" t="s">
        <v>36</v>
      </c>
      <c r="B4" s="7">
        <v>118707.99</v>
      </c>
      <c r="D4" s="5" t="s">
        <v>257</v>
      </c>
      <c r="E4" s="2">
        <v>421499.27</v>
      </c>
      <c r="G4" s="5" t="s">
        <v>17</v>
      </c>
      <c r="H4" s="7">
        <v>51321.440000000002</v>
      </c>
    </row>
    <row r="5" spans="1:8" x14ac:dyDescent="0.25">
      <c r="A5" s="5" t="s">
        <v>48</v>
      </c>
      <c r="B5" s="7">
        <v>53743.199999999997</v>
      </c>
      <c r="G5" s="5" t="s">
        <v>45</v>
      </c>
      <c r="H5" s="7">
        <v>40621.800000000003</v>
      </c>
    </row>
    <row r="6" spans="1:8" x14ac:dyDescent="0.25">
      <c r="A6" s="5" t="s">
        <v>22</v>
      </c>
      <c r="B6" s="7">
        <v>55061.01</v>
      </c>
      <c r="G6" s="5" t="s">
        <v>25</v>
      </c>
      <c r="H6" s="7">
        <v>9952.2099999999991</v>
      </c>
    </row>
    <row r="7" spans="1:8" x14ac:dyDescent="0.25">
      <c r="A7" s="5" t="s">
        <v>68</v>
      </c>
      <c r="B7" s="7">
        <v>54029.65</v>
      </c>
      <c r="G7" s="5" t="s">
        <v>257</v>
      </c>
      <c r="H7" s="2">
        <v>421499.27</v>
      </c>
    </row>
    <row r="8" spans="1:8" x14ac:dyDescent="0.25">
      <c r="A8" s="5" t="s">
        <v>257</v>
      </c>
      <c r="B8" s="2">
        <v>421499.27</v>
      </c>
    </row>
    <row r="11" spans="1:8" x14ac:dyDescent="0.25">
      <c r="A11" s="4" t="s">
        <v>256</v>
      </c>
      <c r="B11" t="s">
        <v>255</v>
      </c>
      <c r="C11" s="4"/>
      <c r="D11" s="4" t="s">
        <v>256</v>
      </c>
      <c r="E11" t="s">
        <v>255</v>
      </c>
      <c r="F11" s="4"/>
      <c r="G11" s="4" t="s">
        <v>256</v>
      </c>
      <c r="H11" t="s">
        <v>255</v>
      </c>
    </row>
    <row r="12" spans="1:8" x14ac:dyDescent="0.25">
      <c r="A12" s="5" t="s">
        <v>262</v>
      </c>
      <c r="B12" s="7">
        <v>21558.11</v>
      </c>
      <c r="D12" s="5" t="s">
        <v>72</v>
      </c>
      <c r="E12" s="7">
        <v>3899.92</v>
      </c>
      <c r="G12" s="5" t="s">
        <v>21</v>
      </c>
      <c r="H12" s="7">
        <v>112004.94</v>
      </c>
    </row>
    <row r="13" spans="1:8" x14ac:dyDescent="0.25">
      <c r="A13" s="5" t="s">
        <v>261</v>
      </c>
      <c r="B13" s="7">
        <v>40051.5</v>
      </c>
      <c r="D13" s="5" t="s">
        <v>18</v>
      </c>
      <c r="E13" s="7">
        <v>153440.13</v>
      </c>
      <c r="G13" s="5" t="s">
        <v>28</v>
      </c>
      <c r="H13" s="7">
        <v>142013.85</v>
      </c>
    </row>
    <row r="14" spans="1:8" x14ac:dyDescent="0.25">
      <c r="A14" s="5" t="s">
        <v>265</v>
      </c>
      <c r="B14" s="7">
        <v>45513.15</v>
      </c>
      <c r="D14" s="5" t="s">
        <v>50</v>
      </c>
      <c r="E14" s="7">
        <v>64102.79</v>
      </c>
      <c r="G14" s="5" t="s">
        <v>35</v>
      </c>
      <c r="H14" s="7">
        <v>167480.48000000001</v>
      </c>
    </row>
    <row r="15" spans="1:8" x14ac:dyDescent="0.25">
      <c r="A15" s="5" t="s">
        <v>258</v>
      </c>
      <c r="B15" s="7">
        <v>30778.39</v>
      </c>
      <c r="D15" s="5" t="s">
        <v>54</v>
      </c>
      <c r="E15" s="7">
        <v>29112.07</v>
      </c>
      <c r="G15" s="5" t="s">
        <v>257</v>
      </c>
      <c r="H15" s="2">
        <v>421499.27</v>
      </c>
    </row>
    <row r="16" spans="1:8" x14ac:dyDescent="0.25">
      <c r="A16" s="5" t="s">
        <v>266</v>
      </c>
      <c r="B16" s="7">
        <v>37745.39</v>
      </c>
      <c r="D16" s="5" t="s">
        <v>32</v>
      </c>
      <c r="E16" s="7">
        <v>79384.679999999993</v>
      </c>
    </row>
    <row r="17" spans="1:9" x14ac:dyDescent="0.25">
      <c r="A17" s="5" t="s">
        <v>264</v>
      </c>
      <c r="B17" s="7">
        <v>54345.62</v>
      </c>
      <c r="D17" s="5" t="s">
        <v>26</v>
      </c>
      <c r="E17" s="7">
        <v>6052.29</v>
      </c>
    </row>
    <row r="18" spans="1:9" x14ac:dyDescent="0.25">
      <c r="A18" s="5" t="s">
        <v>263</v>
      </c>
      <c r="B18" s="7">
        <v>53382.879999999997</v>
      </c>
      <c r="D18" s="5" t="s">
        <v>46</v>
      </c>
      <c r="E18" s="7">
        <v>85507.39</v>
      </c>
    </row>
    <row r="19" spans="1:9" x14ac:dyDescent="0.25">
      <c r="A19" s="5" t="s">
        <v>259</v>
      </c>
      <c r="B19" s="7">
        <v>43028.08</v>
      </c>
      <c r="D19" s="5" t="s">
        <v>257</v>
      </c>
      <c r="E19" s="2">
        <v>421499.27</v>
      </c>
    </row>
    <row r="20" spans="1:9" x14ac:dyDescent="0.25">
      <c r="A20" s="5" t="s">
        <v>269</v>
      </c>
      <c r="B20" s="7">
        <v>4433.3999999999996</v>
      </c>
    </row>
    <row r="21" spans="1:9" x14ac:dyDescent="0.25">
      <c r="A21" s="5" t="s">
        <v>267</v>
      </c>
      <c r="B21" s="7">
        <v>34722.160000000003</v>
      </c>
    </row>
    <row r="22" spans="1:9" x14ac:dyDescent="0.25">
      <c r="A22" s="5" t="s">
        <v>268</v>
      </c>
      <c r="B22" s="7">
        <v>34605.35</v>
      </c>
    </row>
    <row r="23" spans="1:9" x14ac:dyDescent="0.25">
      <c r="A23" s="5" t="s">
        <v>260</v>
      </c>
      <c r="B23" s="7">
        <v>21335.24</v>
      </c>
    </row>
    <row r="24" spans="1:9" x14ac:dyDescent="0.25">
      <c r="A24" s="5" t="s">
        <v>257</v>
      </c>
      <c r="B24" s="2">
        <v>421499.27</v>
      </c>
    </row>
    <row r="25" spans="1:9" x14ac:dyDescent="0.25">
      <c r="F25" t="s">
        <v>270</v>
      </c>
    </row>
    <row r="26" spans="1:9" x14ac:dyDescent="0.25">
      <c r="D26" t="s">
        <v>255</v>
      </c>
      <c r="E26" t="s">
        <v>271</v>
      </c>
      <c r="F26" t="s">
        <v>272</v>
      </c>
      <c r="G26" t="s">
        <v>273</v>
      </c>
      <c r="H26" t="s">
        <v>274</v>
      </c>
      <c r="I26" s="3" t="s">
        <v>275</v>
      </c>
    </row>
    <row r="27" spans="1:9" x14ac:dyDescent="0.25">
      <c r="D27" s="7">
        <v>421499.27</v>
      </c>
      <c r="E27" s="2">
        <v>200</v>
      </c>
      <c r="F27" s="2">
        <v>640</v>
      </c>
      <c r="G27" s="7">
        <v>134396.78</v>
      </c>
      <c r="H27" s="7">
        <v>287102.49</v>
      </c>
      <c r="I27" s="10">
        <f>G27/D27</f>
        <v>0.31885412280785208</v>
      </c>
    </row>
    <row r="28" spans="1:9" x14ac:dyDescent="0.25">
      <c r="A28" s="4" t="s">
        <v>256</v>
      </c>
      <c r="B28" t="s">
        <v>255</v>
      </c>
      <c r="C28" s="4"/>
    </row>
    <row r="29" spans="1:9" x14ac:dyDescent="0.25">
      <c r="A29" s="5" t="s">
        <v>38</v>
      </c>
      <c r="B29" s="7">
        <v>103754.91</v>
      </c>
    </row>
    <row r="30" spans="1:9" x14ac:dyDescent="0.25">
      <c r="A30" s="5" t="s">
        <v>34</v>
      </c>
      <c r="B30" s="7">
        <v>63976.42</v>
      </c>
    </row>
    <row r="31" spans="1:9" x14ac:dyDescent="0.25">
      <c r="A31" s="5" t="s">
        <v>52</v>
      </c>
      <c r="B31" s="7">
        <v>124901.82</v>
      </c>
    </row>
    <row r="32" spans="1:9" x14ac:dyDescent="0.25">
      <c r="A32" s="5" t="s">
        <v>20</v>
      </c>
      <c r="B32" s="7">
        <v>128866.12</v>
      </c>
    </row>
    <row r="33" spans="1:2" x14ac:dyDescent="0.25">
      <c r="A33" s="5" t="s">
        <v>257</v>
      </c>
      <c r="B33" s="2">
        <v>421499.27</v>
      </c>
    </row>
  </sheetData>
  <pageMargins left="0.7" right="0.7" top="0.75" bottom="0.75" header="0.3" footer="0.3"/>
  <pageSetup orientation="portrait" horizontalDpi="360" verticalDpi="360"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6E2C-D65C-4616-AEEF-43F443DF0A5A}">
  <dimension ref="AC33"/>
  <sheetViews>
    <sheetView tabSelected="1" zoomScale="49" workbookViewId="0">
      <selection activeCell="AD30" sqref="AD30"/>
    </sheetView>
  </sheetViews>
  <sheetFormatPr defaultRowHeight="15" x14ac:dyDescent="0.25"/>
  <cols>
    <col min="1" max="16384" width="9.140625" style="6"/>
  </cols>
  <sheetData>
    <row r="33" spans="29:29" x14ac:dyDescent="0.25">
      <c r="AC33"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2026-10-19T01:13:04Z</dcterms:created>
  <dcterms:modified xsi:type="dcterms:W3CDTF">2026-10-19T13:01:00Z</dcterms:modified>
</cp:coreProperties>
</file>